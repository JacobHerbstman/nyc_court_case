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ylerjacobson/Documents/GitHub/nyc_court_case/hand_coding_tyler/"/>
    </mc:Choice>
  </mc:AlternateContent>
  <xr:revisionPtr revIDLastSave="0" documentId="13_ncr:1_{E6880483-95E1-7F4C-AF17-918C1A57DD85}" xr6:coauthVersionLast="47" xr6:coauthVersionMax="47" xr10:uidLastSave="{00000000-0000-0000-0000-000000000000}"/>
  <bookViews>
    <workbookView xWindow="31140" yWindow="-1280" windowWidth="28800" windowHeight="17500" xr2:uid="{00000000-000D-0000-FFFF-FFFF00000000}"/>
  </bookViews>
  <sheets>
    <sheet name="Coding" sheetId="1" r:id="rId1"/>
    <sheet name="Codebo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1" i="1" l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<sst xmlns="http://schemas.openxmlformats.org/spreadsheetml/2006/main" count="2377" uniqueCount="1481">
  <si>
    <t>review_id</t>
  </si>
  <si>
    <t>project_name</t>
  </si>
  <si>
    <t>vote_year</t>
  </si>
  <si>
    <t>application_number</t>
  </si>
  <si>
    <t>open_report</t>
  </si>
  <si>
    <t>local_opposition</t>
  </si>
  <si>
    <t>local_request_condition</t>
  </si>
  <si>
    <t>revision_or_concession</t>
  </si>
  <si>
    <t>procedural_response</t>
  </si>
  <si>
    <t>explicit_local_response</t>
  </si>
  <si>
    <t>approved_unresolved_objection</t>
  </si>
  <si>
    <t>cb_request_or_opposition</t>
  </si>
  <si>
    <t>bp_request_or_opposition</t>
  </si>
  <si>
    <t>councilmember_position</t>
  </si>
  <si>
    <t>civic_group_position</t>
  </si>
  <si>
    <t>affordability_displacement</t>
  </si>
  <si>
    <t>traffic_parking</t>
  </si>
  <si>
    <t>scale_character_preservation</t>
  </si>
  <si>
    <t>infrastructure_services</t>
  </si>
  <si>
    <t>environment_open_space</t>
  </si>
  <si>
    <t>evidence_pages</t>
  </si>
  <si>
    <t>evidence_summary</t>
  </si>
  <si>
    <t>coding_confidence</t>
  </si>
  <si>
    <t>coding_complete</t>
  </si>
  <si>
    <t>coder_notes</t>
  </si>
  <si>
    <t>sample_group</t>
  </si>
  <si>
    <t>shared_id</t>
  </si>
  <si>
    <t>document_id</t>
  </si>
  <si>
    <t>action_code</t>
  </si>
  <si>
    <t>community_district</t>
  </si>
  <si>
    <t>T001</t>
  </si>
  <si>
    <t>Museum Cafe</t>
  </si>
  <si>
    <t>C 770091 TCM</t>
  </si>
  <si>
    <t>tyler_only</t>
  </si>
  <si>
    <t>488a671479012848b9b7</t>
  </si>
  <si>
    <t>TC</t>
  </si>
  <si>
    <t>MN 07</t>
  </si>
  <si>
    <t>T002</t>
  </si>
  <si>
    <t>175-35 Liberty Ave</t>
  </si>
  <si>
    <t>C 850236 ZSQ</t>
  </si>
  <si>
    <t>1039bc47a6656198dd3a</t>
  </si>
  <si>
    <t>ZS</t>
  </si>
  <si>
    <t>QN 12</t>
  </si>
  <si>
    <t>T003</t>
  </si>
  <si>
    <t>Southeast Annadale Rezoning</t>
  </si>
  <si>
    <t>C 970554 ZMR</t>
  </si>
  <si>
    <t>common</t>
  </si>
  <si>
    <t>C093</t>
  </si>
  <si>
    <t>8431ae9e31ecbb0e7ddf</t>
  </si>
  <si>
    <t>ZM</t>
  </si>
  <si>
    <t>SI 03</t>
  </si>
  <si>
    <t>T004</t>
  </si>
  <si>
    <t>The Gardens At Forest Hills</t>
  </si>
  <si>
    <t>C 870568 ZMQ</t>
  </si>
  <si>
    <t>C094</t>
  </si>
  <si>
    <t>717d4d21cc6a432a8c40</t>
  </si>
  <si>
    <t>QN 06</t>
  </si>
  <si>
    <t>T005</t>
  </si>
  <si>
    <t>Ulmer Park Library</t>
  </si>
  <si>
    <t>C 060209 PQK</t>
  </si>
  <si>
    <t>ccd3366e31c420c67f0a</t>
  </si>
  <si>
    <t>PQ</t>
  </si>
  <si>
    <t>BK 13</t>
  </si>
  <si>
    <t>T006</t>
  </si>
  <si>
    <t>Beach 60Th &amp; Beach 61St Sts/Park</t>
  </si>
  <si>
    <t>C 760218 MMQ</t>
  </si>
  <si>
    <t>3e7310d44e76d5e0a616</t>
  </si>
  <si>
    <t>MM</t>
  </si>
  <si>
    <t>QN 14</t>
  </si>
  <si>
    <t>T007</t>
  </si>
  <si>
    <t>Brooklyn Navy Yard</t>
  </si>
  <si>
    <t>C 110169 PPK</t>
  </si>
  <si>
    <t>C041</t>
  </si>
  <si>
    <t>a0c81bea21885ab415d9</t>
  </si>
  <si>
    <t>PP</t>
  </si>
  <si>
    <t>BK 02</t>
  </si>
  <si>
    <t>T008</t>
  </si>
  <si>
    <t>C7 Baychester Avenue Rezoning</t>
  </si>
  <si>
    <t>C 200088 ZMX</t>
  </si>
  <si>
    <t>1e85e142e879ca35bd4b</t>
  </si>
  <si>
    <t>BX 10</t>
  </si>
  <si>
    <t>T009</t>
  </si>
  <si>
    <t>PAL Arnold &amp; Marie Schwartz Early Learn Center</t>
  </si>
  <si>
    <t>C 160331 PQK</t>
  </si>
  <si>
    <t>e9714de3324c48b01073</t>
  </si>
  <si>
    <t>BK 05</t>
  </si>
  <si>
    <t>T010</t>
  </si>
  <si>
    <t>Union Street Bridge</t>
  </si>
  <si>
    <t>C 010415 MMK</t>
  </si>
  <si>
    <t>df25c33345478c2b9b3c</t>
  </si>
  <si>
    <t>BK 09</t>
  </si>
  <si>
    <t>T011</t>
  </si>
  <si>
    <t>John Walter Edwards Apts</t>
  </si>
  <si>
    <t>C 910360 ZMK</t>
  </si>
  <si>
    <t>690d21974b50e992d814</t>
  </si>
  <si>
    <t>BK 16</t>
  </si>
  <si>
    <t>T012</t>
  </si>
  <si>
    <t>Commerce Bank 65th Street</t>
  </si>
  <si>
    <t>C 060272 ZMK</t>
  </si>
  <si>
    <t>821871736759d4dfcef4</t>
  </si>
  <si>
    <t>BK 10</t>
  </si>
  <si>
    <t>T013</t>
  </si>
  <si>
    <t>77Th St Boarding Home</t>
  </si>
  <si>
    <t>C 920262 PQQ</t>
  </si>
  <si>
    <t>C009</t>
  </si>
  <si>
    <t>a2fe5d5a89f0163a9c93</t>
  </si>
  <si>
    <t>QN 03</t>
  </si>
  <si>
    <t>T014</t>
  </si>
  <si>
    <t>350-356 W14Th A/K/A 682 Hudson St</t>
  </si>
  <si>
    <t>C 850111 ZMM</t>
  </si>
  <si>
    <t>C014</t>
  </si>
  <si>
    <t>96f54aa7fbd13c054a11</t>
  </si>
  <si>
    <t>MN 02</t>
  </si>
  <si>
    <t>T015</t>
  </si>
  <si>
    <t>Station-Break</t>
  </si>
  <si>
    <t>C 770118 ZSM</t>
  </si>
  <si>
    <t>4d878f5824b8019e2caf</t>
  </si>
  <si>
    <t>MN 05</t>
  </si>
  <si>
    <t>T016</t>
  </si>
  <si>
    <t>Lynch St Rezoning</t>
  </si>
  <si>
    <t>C 950526 ZMK</t>
  </si>
  <si>
    <t>ed349f9eac140516ab1e</t>
  </si>
  <si>
    <t>BK 01</t>
  </si>
  <si>
    <t>T017</t>
  </si>
  <si>
    <t>271 Sea Breeze Avenue</t>
  </si>
  <si>
    <t>C 190172 ZMK</t>
  </si>
  <si>
    <t>68739c0e34c3a541e652</t>
  </si>
  <si>
    <t>T018</t>
  </si>
  <si>
    <t>Olde Ny Rest</t>
  </si>
  <si>
    <t>C 810220 TCM</t>
  </si>
  <si>
    <t>d78f76414e399d785327</t>
  </si>
  <si>
    <t>MN 08</t>
  </si>
  <si>
    <t>T019</t>
  </si>
  <si>
    <t>CPC report C 770408 HOX</t>
  </si>
  <si>
    <t>C 770408 HOX</t>
  </si>
  <si>
    <t>b1572a478dd1161fb32e</t>
  </si>
  <si>
    <t>HO</t>
  </si>
  <si>
    <t>BX 02</t>
  </si>
  <si>
    <t>T020</t>
  </si>
  <si>
    <t>Astella Dev</t>
  </si>
  <si>
    <t>C 940072 HDK</t>
  </si>
  <si>
    <t>a52e3b4f2736ba44a007</t>
  </si>
  <si>
    <t>HD</t>
  </si>
  <si>
    <t>T021</t>
  </si>
  <si>
    <t>E179Th St, Monterey Ave, E178Th St, 3Rd Ave</t>
  </si>
  <si>
    <t>C 800337 ZMX</t>
  </si>
  <si>
    <t>C089</t>
  </si>
  <si>
    <t>9fac5dd0d7f16bc0caa8</t>
  </si>
  <si>
    <t>BX 06</t>
  </si>
  <si>
    <t>T022</t>
  </si>
  <si>
    <t>Hylan Blvd, Prol Pl &amp; Richmond Ave, Tennyson Dr, Preston Ave</t>
  </si>
  <si>
    <t>C 800492 PER</t>
  </si>
  <si>
    <t>ba586360d48e6a085d1b</t>
  </si>
  <si>
    <t>PE</t>
  </si>
  <si>
    <t>T023</t>
  </si>
  <si>
    <t>CPC report C 760059 MMX</t>
  </si>
  <si>
    <t>C 760059 MMX</t>
  </si>
  <si>
    <t>C006</t>
  </si>
  <si>
    <t>15d044215af0b65e399d</t>
  </si>
  <si>
    <t>T024</t>
  </si>
  <si>
    <t>213-227 West 28th Street Parking Special Permits</t>
  </si>
  <si>
    <t>C 200013 ZSM</t>
  </si>
  <si>
    <t>b7be22f34595957d2d0b</t>
  </si>
  <si>
    <t>T025</t>
  </si>
  <si>
    <t>Sands Street E/0 Pearl St</t>
  </si>
  <si>
    <t>C 831300 GFK</t>
  </si>
  <si>
    <t>8674363b6f3e5571eda6</t>
  </si>
  <si>
    <t>GF</t>
  </si>
  <si>
    <t>T026</t>
  </si>
  <si>
    <t>St Raymond'S Cemetery Addition</t>
  </si>
  <si>
    <t>C 920231 MMX</t>
  </si>
  <si>
    <t>ba8d64a064c09e08facb</t>
  </si>
  <si>
    <t>T027</t>
  </si>
  <si>
    <t>Nelson Ave Playground</t>
  </si>
  <si>
    <t>C 970367 MMX</t>
  </si>
  <si>
    <t>477c286b415d2c4b3443</t>
  </si>
  <si>
    <t>BX 04</t>
  </si>
  <si>
    <t>T028</t>
  </si>
  <si>
    <t>Special College Point District</t>
  </si>
  <si>
    <t>N 090318 ZRQ</t>
  </si>
  <si>
    <t>C020</t>
  </si>
  <si>
    <t>06c90a5bde6a4a3cadd7</t>
  </si>
  <si>
    <t>ZR</t>
  </si>
  <si>
    <t>QN 07</t>
  </si>
  <si>
    <t>T029</t>
  </si>
  <si>
    <t>Echo Apts</t>
  </si>
  <si>
    <t>C 890206 HAM</t>
  </si>
  <si>
    <t>caede13ffc07eabcce6d</t>
  </si>
  <si>
    <t>HA</t>
  </si>
  <si>
    <t>MN 09</t>
  </si>
  <si>
    <t>T030</t>
  </si>
  <si>
    <t>C-O-P/Red Hook Stores</t>
  </si>
  <si>
    <t>C 020048 PPK</t>
  </si>
  <si>
    <t>a46b9f409bc0222e209d</t>
  </si>
  <si>
    <t>BK 06</t>
  </si>
  <si>
    <t>T031</t>
  </si>
  <si>
    <t>Park Housing</t>
  </si>
  <si>
    <t>C 920157 HDX</t>
  </si>
  <si>
    <t>C007</t>
  </si>
  <si>
    <t>c1ef08d5d2f9399b80eb</t>
  </si>
  <si>
    <t>BX 11</t>
  </si>
  <si>
    <t>T032</t>
  </si>
  <si>
    <t>C-O-P/Queens Municipal Pkg Lots</t>
  </si>
  <si>
    <t>C 000478 PPQ</t>
  </si>
  <si>
    <t>dd8753e03f7356d9a279</t>
  </si>
  <si>
    <t>T033</t>
  </si>
  <si>
    <t>C-O-P</t>
  </si>
  <si>
    <t>C 960282 PPK</t>
  </si>
  <si>
    <t>C056</t>
  </si>
  <si>
    <t>963b77de060fb7cf97f3</t>
  </si>
  <si>
    <t>BK 03</t>
  </si>
  <si>
    <t>T034</t>
  </si>
  <si>
    <t>11-15 Irving Ave</t>
  </si>
  <si>
    <t>C 860484 PPQ</t>
  </si>
  <si>
    <t>a137df1f50e36a966b38</t>
  </si>
  <si>
    <t>QN 05</t>
  </si>
  <si>
    <t>T035</t>
  </si>
  <si>
    <t>Cooper Square Restaurant</t>
  </si>
  <si>
    <t>C 820444 TCM</t>
  </si>
  <si>
    <t>251ad77b2bc8f2610263</t>
  </si>
  <si>
    <t>T036</t>
  </si>
  <si>
    <t>North 7th Street Rezoning</t>
  </si>
  <si>
    <t>C 230064 ZMK</t>
  </si>
  <si>
    <t>C055</t>
  </si>
  <si>
    <t>99e283a277aa316e5861</t>
  </si>
  <si>
    <t>T037</t>
  </si>
  <si>
    <t>Landing Rd Rezoning</t>
  </si>
  <si>
    <t>C 970578 ZMX</t>
  </si>
  <si>
    <t>C077</t>
  </si>
  <si>
    <t>44f8891d9333548f1907</t>
  </si>
  <si>
    <t>BX 07</t>
  </si>
  <si>
    <t>T038</t>
  </si>
  <si>
    <t>Noah'S Ark</t>
  </si>
  <si>
    <t>C 790016 TCM</t>
  </si>
  <si>
    <t>4fb1433b737165b214d0</t>
  </si>
  <si>
    <t>T039</t>
  </si>
  <si>
    <t>South Avenue Retail Development</t>
  </si>
  <si>
    <t>C 160174 ZSR</t>
  </si>
  <si>
    <t>8c347efd6acccaa8c04f</t>
  </si>
  <si>
    <t>SI 01</t>
  </si>
  <si>
    <t>T040</t>
  </si>
  <si>
    <t>New Lots-Schenck Dcc</t>
  </si>
  <si>
    <t>C 910511 PQK</t>
  </si>
  <si>
    <t>C022</t>
  </si>
  <si>
    <t>8f003470ccbe08b35ecb</t>
  </si>
  <si>
    <t>T041</t>
  </si>
  <si>
    <t>FDNY Warehouse</t>
  </si>
  <si>
    <t>C 110228 PCQ</t>
  </si>
  <si>
    <t>6152442979534feabdba</t>
  </si>
  <si>
    <t>PC</t>
  </si>
  <si>
    <t>QN 02</t>
  </si>
  <si>
    <t>T042</t>
  </si>
  <si>
    <t>C 980368 PPK</t>
  </si>
  <si>
    <t>6278b9fd8e7d04fb2d82</t>
  </si>
  <si>
    <t>T043</t>
  </si>
  <si>
    <t>259 10th Avenue</t>
  </si>
  <si>
    <t>C 110334 ZSM</t>
  </si>
  <si>
    <t>a24ef0baaf43c675c098</t>
  </si>
  <si>
    <t>MN 04</t>
  </si>
  <si>
    <t>T044</t>
  </si>
  <si>
    <t>551 West 21st Street Parking Garage</t>
  </si>
  <si>
    <t>C 150110 ZSM</t>
  </si>
  <si>
    <t>C083</t>
  </si>
  <si>
    <t>f3b36ee2799e8f224a5b</t>
  </si>
  <si>
    <t>T045</t>
  </si>
  <si>
    <t>110 East 70Th Street</t>
  </si>
  <si>
    <t>C 150059 ZSM</t>
  </si>
  <si>
    <t>3f37a97a19b3a4239b17</t>
  </si>
  <si>
    <t>T046</t>
  </si>
  <si>
    <t>CPC report C 780522 HUM</t>
  </si>
  <si>
    <t>C 780522 HUM</t>
  </si>
  <si>
    <t>fce774ad19fb10898f81</t>
  </si>
  <si>
    <t>HU</t>
  </si>
  <si>
    <t>MN 01</t>
  </si>
  <si>
    <t>T047</t>
  </si>
  <si>
    <t>C 900031 PPQ</t>
  </si>
  <si>
    <t>d2fa8d34d901c75d9997</t>
  </si>
  <si>
    <t>T048</t>
  </si>
  <si>
    <t>Ninth Street Rezoning</t>
  </si>
  <si>
    <t>C 210348 ZMK</t>
  </si>
  <si>
    <t>a22bab6e2d8a573479a2</t>
  </si>
  <si>
    <t>T049</t>
  </si>
  <si>
    <t>CPC report C 020612 HAM</t>
  </si>
  <si>
    <t>C 020612 HAM</t>
  </si>
  <si>
    <t>C046</t>
  </si>
  <si>
    <t>f0603a16d0f473d75e4a</t>
  </si>
  <si>
    <t>MN 11</t>
  </si>
  <si>
    <t>T050</t>
  </si>
  <si>
    <t>New York Community of Hospital of Brooklyn</t>
  </si>
  <si>
    <t>C 180070 MMK</t>
  </si>
  <si>
    <t>C080</t>
  </si>
  <si>
    <t>c966df32c353011154bf</t>
  </si>
  <si>
    <t>BK 14</t>
  </si>
  <si>
    <t>T051</t>
  </si>
  <si>
    <t>CPC report C 770472 HOM</t>
  </si>
  <si>
    <t>C 770472 HOM</t>
  </si>
  <si>
    <t>C087</t>
  </si>
  <si>
    <t>a9a1cee75bbb0ff39871</t>
  </si>
  <si>
    <t>MN 10</t>
  </si>
  <si>
    <t>T052</t>
  </si>
  <si>
    <t>New York Wheel</t>
  </si>
  <si>
    <t>C 150447 ZSR</t>
  </si>
  <si>
    <t>C061</t>
  </si>
  <si>
    <t>8454cf00b6f05f5dd077</t>
  </si>
  <si>
    <t>T053</t>
  </si>
  <si>
    <t>Flushing Commons</t>
  </si>
  <si>
    <t>C 100208 ZSQ</t>
  </si>
  <si>
    <t>181a1790f9918e0fd90b</t>
  </si>
  <si>
    <t>T054</t>
  </si>
  <si>
    <t>343 West 47th Street Demolition Special Permit</t>
  </si>
  <si>
    <t>C 240244 ZSM</t>
  </si>
  <si>
    <t>8def3026542302b23206</t>
  </si>
  <si>
    <t>T055</t>
  </si>
  <si>
    <t>Five Star Child Care Center</t>
  </si>
  <si>
    <t>C 090324 PQX</t>
  </si>
  <si>
    <t>b885d9c21876e7570293</t>
  </si>
  <si>
    <t>BX 03</t>
  </si>
  <si>
    <t>T056</t>
  </si>
  <si>
    <t>Hra Boarding Home</t>
  </si>
  <si>
    <t>C 891083 PLQ</t>
  </si>
  <si>
    <t>C050</t>
  </si>
  <si>
    <t>c2a9d6be6f0d130af7c5</t>
  </si>
  <si>
    <t>PL</t>
  </si>
  <si>
    <t>T057</t>
  </si>
  <si>
    <t>C 920315 PPK</t>
  </si>
  <si>
    <t>9fe129a35b6e18544d97</t>
  </si>
  <si>
    <t>T058</t>
  </si>
  <si>
    <t>S/E/C/O/ Of 140 Ave &amp; Coombs St, W/S/O 154 St, S/O 132 Ave</t>
  </si>
  <si>
    <t>C 840161 PPQ</t>
  </si>
  <si>
    <t>0290f3b8b3e9437b9ac9</t>
  </si>
  <si>
    <t>T059</t>
  </si>
  <si>
    <t>Nbc Of Negro Women Day Care Center</t>
  </si>
  <si>
    <t>C 900685 PQX</t>
  </si>
  <si>
    <t>b5d68258c447183632b4</t>
  </si>
  <si>
    <t>BX 12</t>
  </si>
  <si>
    <t>T060</t>
  </si>
  <si>
    <t>465 Broadway</t>
  </si>
  <si>
    <t>C 020189 ZSM</t>
  </si>
  <si>
    <t>f4b00dea04eb9e180657</t>
  </si>
  <si>
    <t>T061</t>
  </si>
  <si>
    <t>St. Patrick's Home</t>
  </si>
  <si>
    <t>C 110102 ZSX</t>
  </si>
  <si>
    <t>982d9a43f7a6b4e6d124</t>
  </si>
  <si>
    <t>BX 08</t>
  </si>
  <si>
    <t>T062</t>
  </si>
  <si>
    <t>Bed-Stuy Central and North NIHOP Cluster</t>
  </si>
  <si>
    <t>C 210173 HAK</t>
  </si>
  <si>
    <t>C062</t>
  </si>
  <si>
    <t>c56f2e54cc845b5ea9ec</t>
  </si>
  <si>
    <t>T063</t>
  </si>
  <si>
    <t>LSSNY Early Life Center 2</t>
  </si>
  <si>
    <t>C 160161 PQX</t>
  </si>
  <si>
    <t>924b183b59757ac47799</t>
  </si>
  <si>
    <t>T064</t>
  </si>
  <si>
    <t>137-61 Northern Boulevard</t>
  </si>
  <si>
    <t>C 120403 ZMQ</t>
  </si>
  <si>
    <t>fa045f54899c4dff3368</t>
  </si>
  <si>
    <t>T065</t>
  </si>
  <si>
    <t>1233 57th Street Rezoning</t>
  </si>
  <si>
    <t>C 230117 ZMK</t>
  </si>
  <si>
    <t>878313e32edb821d0464</t>
  </si>
  <si>
    <t>BK 12</t>
  </si>
  <si>
    <t>T066</t>
  </si>
  <si>
    <t>C-O-P/W184Th St Garage</t>
  </si>
  <si>
    <t>C 970324 DMM</t>
  </si>
  <si>
    <t>0dc9707e6f13fd73ad07</t>
  </si>
  <si>
    <t>DM</t>
  </si>
  <si>
    <t>MN 12</t>
  </si>
  <si>
    <t>T067</t>
  </si>
  <si>
    <t>1117 Noble Avenue</t>
  </si>
  <si>
    <t>C 870131 PPX</t>
  </si>
  <si>
    <t>09be6780d50d834ca131</t>
  </si>
  <si>
    <t>BX 09</t>
  </si>
  <si>
    <t>T068</t>
  </si>
  <si>
    <t>Harlem NCP CB 11</t>
  </si>
  <si>
    <t>C 200277 HAM</t>
  </si>
  <si>
    <t>28b711da8e6bf5741534</t>
  </si>
  <si>
    <t>T069</t>
  </si>
  <si>
    <t>Waunner Street Commercial Development</t>
  </si>
  <si>
    <t>C 140316 ZSR</t>
  </si>
  <si>
    <t>C058</t>
  </si>
  <si>
    <t>3dba139ecd6b71369289</t>
  </si>
  <si>
    <t>T070</t>
  </si>
  <si>
    <t>Whitehall Ferry Termnl/Ferry Plaza</t>
  </si>
  <si>
    <t>C 960203 ZMM</t>
  </si>
  <si>
    <t>dc58480db8471e2f1156</t>
  </si>
  <si>
    <t>T071</t>
  </si>
  <si>
    <t>C-O-P (10 Parcels)</t>
  </si>
  <si>
    <t>C 980703 PPX</t>
  </si>
  <si>
    <t>2618745abad44176f1b3</t>
  </si>
  <si>
    <t>T072</t>
  </si>
  <si>
    <t>Victory Blvd &amp; Spark Place</t>
  </si>
  <si>
    <t>C 900172 ZMR</t>
  </si>
  <si>
    <t>C068</t>
  </si>
  <si>
    <t>13e5c76bb268bbd78e25</t>
  </si>
  <si>
    <t>SI 02</t>
  </si>
  <si>
    <t>T073</t>
  </si>
  <si>
    <t>Eastpoint Development</t>
  </si>
  <si>
    <t>C 960270 MEQ</t>
  </si>
  <si>
    <t>b7d1120f5b42c7c80913</t>
  </si>
  <si>
    <t>ME</t>
  </si>
  <si>
    <t>T074</t>
  </si>
  <si>
    <t>Queens Future Map Change and Amendment</t>
  </si>
  <si>
    <t>C 250046 ZMQ</t>
  </si>
  <si>
    <t>84720adbe1bc8963afbc</t>
  </si>
  <si>
    <t>QN 03 QN 04 QN 06 QN 07 QN 08 QN 09</t>
  </si>
  <si>
    <t>T075</t>
  </si>
  <si>
    <t>P/O 2Nd Ave Westerly Side Bet 59Th &amp; 60Th Sts</t>
  </si>
  <si>
    <t>C 790789 MMM</t>
  </si>
  <si>
    <t>C081</t>
  </si>
  <si>
    <t>a18d979d3f34a1736785</t>
  </si>
  <si>
    <t>MN 06 MN 08</t>
  </si>
  <si>
    <t>T076</t>
  </si>
  <si>
    <t>Plaza 75</t>
  </si>
  <si>
    <t>C 070065 ZMQ</t>
  </si>
  <si>
    <t>ac082f8f948e1421a132</t>
  </si>
  <si>
    <t>QN 04</t>
  </si>
  <si>
    <t>T077</t>
  </si>
  <si>
    <t>Pueblo Nueua Ura Site I</t>
  </si>
  <si>
    <t>C 840424 HPM</t>
  </si>
  <si>
    <t>C025</t>
  </si>
  <si>
    <t>748948f8cbb9ea3be10a</t>
  </si>
  <si>
    <t>HP</t>
  </si>
  <si>
    <t>MN 03</t>
  </si>
  <si>
    <t>T078</t>
  </si>
  <si>
    <t>116-122 W21St St</t>
  </si>
  <si>
    <t>C 030031 ZSM</t>
  </si>
  <si>
    <t>fd96efb47cb8a9fbbcea</t>
  </si>
  <si>
    <t>T079</t>
  </si>
  <si>
    <t>St. George Rezoning</t>
  </si>
  <si>
    <t>N 080425 ZRR</t>
  </si>
  <si>
    <t>8af7fa7ebb7ba8a841eb</t>
  </si>
  <si>
    <t>T080</t>
  </si>
  <si>
    <t>Lincoln Center Ny Public Library</t>
  </si>
  <si>
    <t>C 860383 PSM</t>
  </si>
  <si>
    <t>ca493c66e448483ece3b</t>
  </si>
  <si>
    <t>PS</t>
  </si>
  <si>
    <t>T081</t>
  </si>
  <si>
    <t>UTD Bushwick Early Learning Child Care Center</t>
  </si>
  <si>
    <t>C 130162 PQK</t>
  </si>
  <si>
    <t>3ae6b5e7a6432f42dce2</t>
  </si>
  <si>
    <t>BK 04</t>
  </si>
  <si>
    <t>T082</t>
  </si>
  <si>
    <t>Clinton URA Site</t>
  </si>
  <si>
    <t>C 140181 ZMM</t>
  </si>
  <si>
    <t>C076</t>
  </si>
  <si>
    <t>d3a74443db94b01c2748</t>
  </si>
  <si>
    <t>T083</t>
  </si>
  <si>
    <t>152 W 124 St</t>
  </si>
  <si>
    <t>C 840863 HDM</t>
  </si>
  <si>
    <t>C063</t>
  </si>
  <si>
    <t>f04b54075712569aa7bf</t>
  </si>
  <si>
    <t>T084</t>
  </si>
  <si>
    <t>Cromwell Ave S/O W170Th St</t>
  </si>
  <si>
    <t>C 770124 MFX</t>
  </si>
  <si>
    <t>1425d92c053c27755beb</t>
  </si>
  <si>
    <t>MF</t>
  </si>
  <si>
    <t>T085</t>
  </si>
  <si>
    <t>CPC report C 790478 TCM</t>
  </si>
  <si>
    <t>C 790478 TCM</t>
  </si>
  <si>
    <t>C049</t>
  </si>
  <si>
    <t>ebff1ab73107cf5f6ca0</t>
  </si>
  <si>
    <t>T086</t>
  </si>
  <si>
    <t>Downtown Brooklyn Development; special permit</t>
  </si>
  <si>
    <t>C 040182 ZSK</t>
  </si>
  <si>
    <t>96a037fb0cc3c9e1d8ea</t>
  </si>
  <si>
    <t>T087</t>
  </si>
  <si>
    <t>22-60 46th Street Rezoning</t>
  </si>
  <si>
    <t>C 190267 ZMQ</t>
  </si>
  <si>
    <t>4233c506d2afb89202b5</t>
  </si>
  <si>
    <t>QN 01</t>
  </si>
  <si>
    <t>T088</t>
  </si>
  <si>
    <t>CPC report C 860640 MMQ</t>
  </si>
  <si>
    <t>C 860640 MMQ</t>
  </si>
  <si>
    <t>C029</t>
  </si>
  <si>
    <t>62d8d1ec137fa1bdc30b</t>
  </si>
  <si>
    <t>T089</t>
  </si>
  <si>
    <t>ABC No Rio</t>
  </si>
  <si>
    <t>C 050275 HAM</t>
  </si>
  <si>
    <t>afdabdc8a1745639baca</t>
  </si>
  <si>
    <t>T090</t>
  </si>
  <si>
    <t>Granite Avenue Bridge</t>
  </si>
  <si>
    <t>C 900624 MMR</t>
  </si>
  <si>
    <t>9eb4821078949c3e4fe0</t>
  </si>
  <si>
    <t>T091</t>
  </si>
  <si>
    <t>426 E163Th St</t>
  </si>
  <si>
    <t>C 790809 PPX</t>
  </si>
  <si>
    <t>a5dd5b7269921771753e</t>
  </si>
  <si>
    <t>T092</t>
  </si>
  <si>
    <t>Part Of Kelly St Bet Dawson &amp; Beck Sts Within Area Bnd By</t>
  </si>
  <si>
    <t>C 820683 MMX</t>
  </si>
  <si>
    <t>d8e27c7ef8dd59143971</t>
  </si>
  <si>
    <t>T093</t>
  </si>
  <si>
    <t>Vic Of Flatbush &amp; Caton Avs</t>
  </si>
  <si>
    <t>C 810436 PSK</t>
  </si>
  <si>
    <t>C011</t>
  </si>
  <si>
    <t>f6809b0ef748b33da617</t>
  </si>
  <si>
    <t>T094</t>
  </si>
  <si>
    <t>NYPD Evidence Storage and Central Records</t>
  </si>
  <si>
    <t>C 150188 PCK</t>
  </si>
  <si>
    <t>0b008ed8f908c702c641</t>
  </si>
  <si>
    <t>BK 07</t>
  </si>
  <si>
    <t>T095</t>
  </si>
  <si>
    <t>CPC report C 780631 PPX</t>
  </si>
  <si>
    <t>C 780631 PPX</t>
  </si>
  <si>
    <t>eae56a869a1a41d2be17</t>
  </si>
  <si>
    <t>BX 01</t>
  </si>
  <si>
    <t>T096</t>
  </si>
  <si>
    <t>DUMBO Rezoning</t>
  </si>
  <si>
    <t>C 090310 ZMK</t>
  </si>
  <si>
    <t>5d3d79916b32a13cf192</t>
  </si>
  <si>
    <t>T097</t>
  </si>
  <si>
    <t>1010 Pacific Street Zoning</t>
  </si>
  <si>
    <t>C 180042 ZMK</t>
  </si>
  <si>
    <t>be6ab7753d4d38f950ff</t>
  </si>
  <si>
    <t>BK 08</t>
  </si>
  <si>
    <t>T098</t>
  </si>
  <si>
    <t>Bishop Annex Office Complex</t>
  </si>
  <si>
    <t>C 860553 ZMM</t>
  </si>
  <si>
    <t>640f1e7b77c39f922feb</t>
  </si>
  <si>
    <t>T099</t>
  </si>
  <si>
    <t>Olga Mendez Apartments (UDAAP designation and project approval)</t>
  </si>
  <si>
    <t>C 030441 HAM</t>
  </si>
  <si>
    <t>751466993b1933816e17</t>
  </si>
  <si>
    <t>T100</t>
  </si>
  <si>
    <t>Alafia – Street Mapping</t>
  </si>
  <si>
    <t>C 240082 MMK</t>
  </si>
  <si>
    <t>349643f583925b2905a4</t>
  </si>
  <si>
    <t>T101</t>
  </si>
  <si>
    <t>Edgemere Urban Renewal Plan</t>
  </si>
  <si>
    <t>C 080455 HUQ</t>
  </si>
  <si>
    <t>fb61b47270c07ed1e94f</t>
  </si>
  <si>
    <t>T102</t>
  </si>
  <si>
    <t>Weiri Residence</t>
  </si>
  <si>
    <t>C 910338 ZSQ</t>
  </si>
  <si>
    <t>fb5ff1d22da35fc178fa</t>
  </si>
  <si>
    <t>T103</t>
  </si>
  <si>
    <t>Clinton Ura (Old School)</t>
  </si>
  <si>
    <t>C 020464 HAM</t>
  </si>
  <si>
    <t>9f7c25f8aff9cecb8dfe</t>
  </si>
  <si>
    <t>T104</t>
  </si>
  <si>
    <t>Central Riverdale/Spuyten Duyvil Rezoning</t>
  </si>
  <si>
    <t>C 040515 ZMX</t>
  </si>
  <si>
    <t>C072</t>
  </si>
  <si>
    <t>7b71c3ec545c37f94412</t>
  </si>
  <si>
    <t>T105</t>
  </si>
  <si>
    <t>Liberty Street Tower</t>
  </si>
  <si>
    <t>C 020063 ZSM</t>
  </si>
  <si>
    <t>79a8d0fbf87190c5d012</t>
  </si>
  <si>
    <t>T106</t>
  </si>
  <si>
    <t>Green Gems Garden Addition</t>
  </si>
  <si>
    <t>C 190452 PCK</t>
  </si>
  <si>
    <t>76fc87ff83fcd3371a43</t>
  </si>
  <si>
    <t>T107</t>
  </si>
  <si>
    <t>East Houston Street Rezoning</t>
  </si>
  <si>
    <t>C 160137 ZMM</t>
  </si>
  <si>
    <t>b744b4d53d42266775ae</t>
  </si>
  <si>
    <t>T108</t>
  </si>
  <si>
    <t>Hull St Firehouse</t>
  </si>
  <si>
    <t>C 990581 HAK</t>
  </si>
  <si>
    <t>ed2cf049a1e0a0e40c19</t>
  </si>
  <si>
    <t>T109</t>
  </si>
  <si>
    <t>Midtown West EMS Station</t>
  </si>
  <si>
    <t>C 120177 PCM</t>
  </si>
  <si>
    <t>507203b34b0448f437f2</t>
  </si>
  <si>
    <t>T110</t>
  </si>
  <si>
    <t>Mosdoth Day Care Center</t>
  </si>
  <si>
    <t>C 920067 PQK</t>
  </si>
  <si>
    <t>38e62f33f71bc7e750d2</t>
  </si>
  <si>
    <t>T111</t>
  </si>
  <si>
    <t>Brook 156</t>
  </si>
  <si>
    <t>C 190208 PPX</t>
  </si>
  <si>
    <t>eb11c8f14eefaedace30</t>
  </si>
  <si>
    <t>T112</t>
  </si>
  <si>
    <t>443 Greenwich Street</t>
  </si>
  <si>
    <t>C 080313 ZSM</t>
  </si>
  <si>
    <t>C034</t>
  </si>
  <si>
    <t>599fb10afbf5301a27ee</t>
  </si>
  <si>
    <t>T113</t>
  </si>
  <si>
    <t>C 000040 PPM</t>
  </si>
  <si>
    <t>61bb6bad47447c51467b</t>
  </si>
  <si>
    <t>T114</t>
  </si>
  <si>
    <t>Housing On Third St</t>
  </si>
  <si>
    <t>C 030262 HAM</t>
  </si>
  <si>
    <t>92a5eea1eb1f0a7ace7c</t>
  </si>
  <si>
    <t>T115</t>
  </si>
  <si>
    <t>62 Greene Street</t>
  </si>
  <si>
    <t>C 170280 ZSM</t>
  </si>
  <si>
    <t>5113ce0ca7c1bd13c984</t>
  </si>
  <si>
    <t>T116</t>
  </si>
  <si>
    <t>330 Jay St</t>
  </si>
  <si>
    <t>C 990677 ZSK</t>
  </si>
  <si>
    <t>28143d3dde53afc0ec5c</t>
  </si>
  <si>
    <t>T117</t>
  </si>
  <si>
    <t>C 900036 ZSK</t>
  </si>
  <si>
    <t>4bcbc3a265d7ef1e58be</t>
  </si>
  <si>
    <t>T118</t>
  </si>
  <si>
    <t>3901 9th Avenue Rezoning</t>
  </si>
  <si>
    <t>C 180186 ZMK</t>
  </si>
  <si>
    <t>04b59be085c2eaa9e645</t>
  </si>
  <si>
    <t>T119</t>
  </si>
  <si>
    <t>Riverway Apartments</t>
  </si>
  <si>
    <t>C 090447 HAK</t>
  </si>
  <si>
    <t>C018</t>
  </si>
  <si>
    <t>60823e417b420ecdb63c</t>
  </si>
  <si>
    <t>T120</t>
  </si>
  <si>
    <t>1959 Strang Avenue</t>
  </si>
  <si>
    <t>C 220171 ZMX</t>
  </si>
  <si>
    <t>3c699ea680a96dd1387f</t>
  </si>
  <si>
    <t>T121</t>
  </si>
  <si>
    <t>2835 &amp; 2845 Veterans Road West</t>
  </si>
  <si>
    <t>C 180308 ZSR</t>
  </si>
  <si>
    <t>C075</t>
  </si>
  <si>
    <t>447f786f9f1ffc6d7eb0</t>
  </si>
  <si>
    <t>T122</t>
  </si>
  <si>
    <t>Ocean Pkway,Ave P &amp; Ave S</t>
  </si>
  <si>
    <t>C 760088 ZMK</t>
  </si>
  <si>
    <t>10a1a93563d6713e49bc</t>
  </si>
  <si>
    <t>BK 15</t>
  </si>
  <si>
    <t>T123</t>
  </si>
  <si>
    <t>CPC report C 851020 PPQ</t>
  </si>
  <si>
    <t>C 851020 PPQ</t>
  </si>
  <si>
    <t>C065</t>
  </si>
  <si>
    <t>00326891d3391480524d</t>
  </si>
  <si>
    <t>T124</t>
  </si>
  <si>
    <t>C 930125 PPQ</t>
  </si>
  <si>
    <t>85541b65d18341fb469d</t>
  </si>
  <si>
    <t>T125</t>
  </si>
  <si>
    <t>Special 4th Avenue Enhanced Commercial District</t>
  </si>
  <si>
    <t>C 110386 ZMK</t>
  </si>
  <si>
    <t>2d94f6ec54cbf095b3f8</t>
  </si>
  <si>
    <t>BK 02 BK 06 BK 07</t>
  </si>
  <si>
    <t>T126</t>
  </si>
  <si>
    <t>1St Amendment East New York I Urp</t>
  </si>
  <si>
    <t>C 910119 HUK</t>
  </si>
  <si>
    <t>67edf27e744fedae6cf1</t>
  </si>
  <si>
    <t>T127</t>
  </si>
  <si>
    <t>200-02-04, 2797-99 8Th Ave, 351 W114Th St, W118 St</t>
  </si>
  <si>
    <t>C 820363 HDM</t>
  </si>
  <si>
    <t>C070</t>
  </si>
  <si>
    <t>e75ad629024e8e5d586a</t>
  </si>
  <si>
    <t>T128</t>
  </si>
  <si>
    <t>1582 Richmond Avenue</t>
  </si>
  <si>
    <t>C 110106 ZMR</t>
  </si>
  <si>
    <t>1f3e033a0e2bba2e8d99</t>
  </si>
  <si>
    <t>T129</t>
  </si>
  <si>
    <t>Lexington Avenue Rezoning</t>
  </si>
  <si>
    <t>C 960576 ZMM</t>
  </si>
  <si>
    <t>067c9ef3c97fd3686486</t>
  </si>
  <si>
    <t>T130</t>
  </si>
  <si>
    <t>Szechuan Taste Restaurant</t>
  </si>
  <si>
    <t>C 770196 TCM</t>
  </si>
  <si>
    <t>C048</t>
  </si>
  <si>
    <t>1ed8ae661487257b6804</t>
  </si>
  <si>
    <t>T131</t>
  </si>
  <si>
    <t>Hebrew Home For The Aged</t>
  </si>
  <si>
    <t>C 010555 ZSX</t>
  </si>
  <si>
    <t>ee8b5079758a52637878</t>
  </si>
  <si>
    <t>T132</t>
  </si>
  <si>
    <t>Fishermen'S Corner</t>
  </si>
  <si>
    <t>C 780201 TCK</t>
  </si>
  <si>
    <t>C017</t>
  </si>
  <si>
    <t>4d5963633608f094e00c</t>
  </si>
  <si>
    <t>T133</t>
  </si>
  <si>
    <t>27 West 19th Street</t>
  </si>
  <si>
    <t>C 060111 ZSM</t>
  </si>
  <si>
    <t>a9988ecd2f1a3b41da24</t>
  </si>
  <si>
    <t>T134</t>
  </si>
  <si>
    <t>Rochester Suydam</t>
  </si>
  <si>
    <t>C 190453 HAK</t>
  </si>
  <si>
    <t>1a4a52796d298f4a766f</t>
  </si>
  <si>
    <t>T135</t>
  </si>
  <si>
    <t>Bartow Avenue Animal Shelter</t>
  </si>
  <si>
    <t>C 180346 PSX</t>
  </si>
  <si>
    <t>C042</t>
  </si>
  <si>
    <t>a7b89b5b22c825f035e7</t>
  </si>
  <si>
    <t>T136</t>
  </si>
  <si>
    <t>Dongan Hills/Seaver Civic</t>
  </si>
  <si>
    <t>C 900609 ZMR</t>
  </si>
  <si>
    <t>b50103ccd7717a56df77</t>
  </si>
  <si>
    <t>T137</t>
  </si>
  <si>
    <t>809 Atlantic Avenue Rezoning</t>
  </si>
  <si>
    <t>C 190072 ZSK</t>
  </si>
  <si>
    <t>C010</t>
  </si>
  <si>
    <t>5bc99ad23483b9958616</t>
  </si>
  <si>
    <t>T138</t>
  </si>
  <si>
    <t>Lafayette Ave Bridge</t>
  </si>
  <si>
    <t>C 940196 MMX</t>
  </si>
  <si>
    <t>4d3af323fbdb2470f95b</t>
  </si>
  <si>
    <t>T139</t>
  </si>
  <si>
    <t>Casella Plaza Hsg For Elderly</t>
  </si>
  <si>
    <t>C 970768 HAX</t>
  </si>
  <si>
    <t>c1ed08aae884df61e3b9</t>
  </si>
  <si>
    <t>T140</t>
  </si>
  <si>
    <t>Ruelles</t>
  </si>
  <si>
    <t>C 820751 TCM</t>
  </si>
  <si>
    <t>3be00a58af8196c7779a</t>
  </si>
  <si>
    <t>T141</t>
  </si>
  <si>
    <t>C 940667 PPM</t>
  </si>
  <si>
    <t>C038</t>
  </si>
  <si>
    <t>68feb4916b4e367df517</t>
  </si>
  <si>
    <t>T142</t>
  </si>
  <si>
    <t>Brooklyn Bay Center</t>
  </si>
  <si>
    <t>C 110047 ZMK</t>
  </si>
  <si>
    <t>06654c05e2bd213ccb2b</t>
  </si>
  <si>
    <t>BK 11</t>
  </si>
  <si>
    <t>T143</t>
  </si>
  <si>
    <t>Variety Boys and Girls Club Rezoning</t>
  </si>
  <si>
    <t>C 180085 ZMQ</t>
  </si>
  <si>
    <t>1818edbd692337c3eeeb</t>
  </si>
  <si>
    <t>T144</t>
  </si>
  <si>
    <t>Union Ave, Prospect Ave, E163 St</t>
  </si>
  <si>
    <t>C 820759 HAX</t>
  </si>
  <si>
    <t>645a6a06dc8624b0c097</t>
  </si>
  <si>
    <t>T145</t>
  </si>
  <si>
    <t>83 Walker Street</t>
  </si>
  <si>
    <t>C 100149 ZSM</t>
  </si>
  <si>
    <t>0a5a3cae16f3d1b07594</t>
  </si>
  <si>
    <t>T146</t>
  </si>
  <si>
    <t>Sweat Equity Project</t>
  </si>
  <si>
    <t>C 820537 HDK</t>
  </si>
  <si>
    <t>C071</t>
  </si>
  <si>
    <t>e65ecb28203a2fe313fe</t>
  </si>
  <si>
    <t>T147</t>
  </si>
  <si>
    <t>CPC report C 780413 HUK</t>
  </si>
  <si>
    <t>C 780413 HUK</t>
  </si>
  <si>
    <t>C078</t>
  </si>
  <si>
    <t>ca107f682dc894bf84e0</t>
  </si>
  <si>
    <t>T148</t>
  </si>
  <si>
    <t>Fulton Park URP - 2nd Amendment (zoning map change)</t>
  </si>
  <si>
    <t>C 030300 ZMK</t>
  </si>
  <si>
    <t>C064</t>
  </si>
  <si>
    <t>0385e4de7488ec4762c5</t>
  </si>
  <si>
    <t>T149</t>
  </si>
  <si>
    <t>West Side Of Wyona St</t>
  </si>
  <si>
    <t>C 820071 PPK</t>
  </si>
  <si>
    <t>643cf2576e4b1b364c5a</t>
  </si>
  <si>
    <t>T150</t>
  </si>
  <si>
    <t>C 930086 PPM</t>
  </si>
  <si>
    <t>80ddd88f455bb7fe9034</t>
  </si>
  <si>
    <t>T151</t>
  </si>
  <si>
    <t>New Kingsbridge Library</t>
  </si>
  <si>
    <t>C 000560 PCX</t>
  </si>
  <si>
    <t>47fa9297432a39019744</t>
  </si>
  <si>
    <t>T152</t>
  </si>
  <si>
    <t>Washington/Bathgate Ura</t>
  </si>
  <si>
    <t>C 910337 HUX</t>
  </si>
  <si>
    <t>C082</t>
  </si>
  <si>
    <t>657f43fe237dec69725c</t>
  </si>
  <si>
    <t>T153</t>
  </si>
  <si>
    <t>SPARC Kips Bay</t>
  </si>
  <si>
    <t>C 240369 ZMM</t>
  </si>
  <si>
    <t>C067</t>
  </si>
  <si>
    <t>0b62c4bf7d20ec91b688</t>
  </si>
  <si>
    <t>MN 06</t>
  </si>
  <si>
    <t>T154</t>
  </si>
  <si>
    <t>2118 Avenue U</t>
  </si>
  <si>
    <t>C 230351 ZMK</t>
  </si>
  <si>
    <t>7b9dc8c7e74caa137b2b</t>
  </si>
  <si>
    <t>T155</t>
  </si>
  <si>
    <t>C 880076 PPK</t>
  </si>
  <si>
    <t>10507621d921dde7c0d7</t>
  </si>
  <si>
    <t>T156</t>
  </si>
  <si>
    <t>Fordham University Passageway</t>
  </si>
  <si>
    <t>C 120172 ZSM</t>
  </si>
  <si>
    <t>b42de0047966c427f59c</t>
  </si>
  <si>
    <t>T157</t>
  </si>
  <si>
    <t>464 Ovington Avenue Rezoning</t>
  </si>
  <si>
    <t>C 250056 ZMK</t>
  </si>
  <si>
    <t>50e64061d9ec121c6c14</t>
  </si>
  <si>
    <t>T158</t>
  </si>
  <si>
    <t>Maujer St Urp</t>
  </si>
  <si>
    <t>C 970372 HDK</t>
  </si>
  <si>
    <t>C023</t>
  </si>
  <si>
    <t>2bf00e9741a60b35e29b</t>
  </si>
  <si>
    <t>T159</t>
  </si>
  <si>
    <t>Pelham Parkway Bus Service Inc</t>
  </si>
  <si>
    <t>C 840020 BFY</t>
  </si>
  <si>
    <t>324ed700b46d4800df0e</t>
  </si>
  <si>
    <t>BF</t>
  </si>
  <si>
    <t>MN 05 MN 06 MN 08 MN 10 MN 11 BX 01 BX 02 BX 03 BX 06 BX 09 BX 11 BX 12 CW</t>
  </si>
  <si>
    <t>T160</t>
  </si>
  <si>
    <t>218-222 W14Th St Bet 7Th &amp; 8Th Aves</t>
  </si>
  <si>
    <t>C 840875 ZSM</t>
  </si>
  <si>
    <t>408d7b99b06923a5054d</t>
  </si>
  <si>
    <t>T161</t>
  </si>
  <si>
    <t>NYPD Vehicle Storage Facility</t>
  </si>
  <si>
    <t>C 160249 PCQ</t>
  </si>
  <si>
    <t>C002</t>
  </si>
  <si>
    <t>aa24e961978c9f498728</t>
  </si>
  <si>
    <t>T162</t>
  </si>
  <si>
    <t>Livonia4</t>
  </si>
  <si>
    <t>C 220427 HAK</t>
  </si>
  <si>
    <t>5574129250dae44a96f4</t>
  </si>
  <si>
    <t>T163</t>
  </si>
  <si>
    <t>159 West 48th Street</t>
  </si>
  <si>
    <t>C 090367 ZSM</t>
  </si>
  <si>
    <t>b1198987ec2c7cb17f2a</t>
  </si>
  <si>
    <t>T164</t>
  </si>
  <si>
    <t>101-23 164Th St</t>
  </si>
  <si>
    <t>C 840749 PPQ</t>
  </si>
  <si>
    <t>3c09844f9ef552b71b26</t>
  </si>
  <si>
    <t>T165</t>
  </si>
  <si>
    <t>4Th Ave, 5Th Ave, Baltic &amp; Butler Sts</t>
  </si>
  <si>
    <t>C 810498 ZMK</t>
  </si>
  <si>
    <t>C097</t>
  </si>
  <si>
    <t>027b0c0b2938ee5f5961</t>
  </si>
  <si>
    <t>T166</t>
  </si>
  <si>
    <t>Crown Hgts Bklyn Public Library</t>
  </si>
  <si>
    <t>C 940206 PCK</t>
  </si>
  <si>
    <t>cb5ce89514df0d28bbc6</t>
  </si>
  <si>
    <t>T167</t>
  </si>
  <si>
    <t>14 – 20 West 40th Street</t>
  </si>
  <si>
    <t>C 080042 ZSM</t>
  </si>
  <si>
    <t>52bc633b6bbe69044ee4</t>
  </si>
  <si>
    <t>T168</t>
  </si>
  <si>
    <t>CPC report C 770448 HDQ</t>
  </si>
  <si>
    <t>C 770448 HDQ</t>
  </si>
  <si>
    <t>0a8bb7676106a481a385</t>
  </si>
  <si>
    <t>T169</t>
  </si>
  <si>
    <t>St. Francis Preparatory School Rezoning</t>
  </si>
  <si>
    <t>C 130170 ZMQ</t>
  </si>
  <si>
    <t>C085</t>
  </si>
  <si>
    <t>64def187d5b6703c71ee</t>
  </si>
  <si>
    <t>QN 08</t>
  </si>
  <si>
    <t>T170</t>
  </si>
  <si>
    <t>Queens Central Library Annex</t>
  </si>
  <si>
    <t>C 070451 PCQ</t>
  </si>
  <si>
    <t>d53dd57b52ffea598ea0</t>
  </si>
  <si>
    <t>T171</t>
  </si>
  <si>
    <t>Purdy Ave</t>
  </si>
  <si>
    <t>C 760006 MMR</t>
  </si>
  <si>
    <t>ffc4799829b437367c10</t>
  </si>
  <si>
    <t>T172</t>
  </si>
  <si>
    <t>9th Avenue Bridge</t>
  </si>
  <si>
    <t>C 950447 MMK</t>
  </si>
  <si>
    <t>b2801e5a56c81d2708bc</t>
  </si>
  <si>
    <t>T173</t>
  </si>
  <si>
    <t>C 960573 PPX</t>
  </si>
  <si>
    <t>bbff17c47606fc83031f</t>
  </si>
  <si>
    <t>T174</t>
  </si>
  <si>
    <t>C-O-P/7 Parcels</t>
  </si>
  <si>
    <t>C 980323 PPQ</t>
  </si>
  <si>
    <t>C036</t>
  </si>
  <si>
    <t>d9f70406732d73939cbd</t>
  </si>
  <si>
    <t>T175</t>
  </si>
  <si>
    <t>2042 Morris Avenue</t>
  </si>
  <si>
    <t>C 840027 HAX</t>
  </si>
  <si>
    <t>C044</t>
  </si>
  <si>
    <t>372db91faecdb7dfb9ef</t>
  </si>
  <si>
    <t>BX 05</t>
  </si>
  <si>
    <t>T176</t>
  </si>
  <si>
    <t>Queens Blvd Bridge</t>
  </si>
  <si>
    <t>C 880145 MMQ</t>
  </si>
  <si>
    <t>36e481eb22ddb4521278</t>
  </si>
  <si>
    <t>T177</t>
  </si>
  <si>
    <t>C 890960 PPK</t>
  </si>
  <si>
    <t>ab08b87fb838b60eef72</t>
  </si>
  <si>
    <t>T178</t>
  </si>
  <si>
    <t>3276 Jerome Avenue</t>
  </si>
  <si>
    <t>C 160064 ZMX</t>
  </si>
  <si>
    <t>b6a2ecdd4db3af500b69</t>
  </si>
  <si>
    <t>T179</t>
  </si>
  <si>
    <t>Brownsville Ura</t>
  </si>
  <si>
    <t>C 780534 HDK</t>
  </si>
  <si>
    <t>fa16b83575e0d1f47102</t>
  </si>
  <si>
    <t>T180</t>
  </si>
  <si>
    <t>703 Myrtle Avenue Rezoning</t>
  </si>
  <si>
    <t>C 220453 ZMK</t>
  </si>
  <si>
    <t>C073</t>
  </si>
  <si>
    <t>752857d85052e57cea04</t>
  </si>
  <si>
    <t>T181</t>
  </si>
  <si>
    <t>Tunnel Under E68Th St W/O York Ave</t>
  </si>
  <si>
    <t>C 830137 GFM</t>
  </si>
  <si>
    <t>9893ae1406139b2819ba</t>
  </si>
  <si>
    <t>T182</t>
  </si>
  <si>
    <t>Lower Broadway/Lmm Study Tribeca</t>
  </si>
  <si>
    <t>C 940309 ZMM</t>
  </si>
  <si>
    <t>5ddc4880eedb9c6cb953</t>
  </si>
  <si>
    <t>T183</t>
  </si>
  <si>
    <t>Lda-Fania Gersham House</t>
  </si>
  <si>
    <t>C 851036 HDM</t>
  </si>
  <si>
    <t>aa80d94c3ebc73595465</t>
  </si>
  <si>
    <t>T184</t>
  </si>
  <si>
    <t>Hra Group Foster Home</t>
  </si>
  <si>
    <t>C 900399 PQX</t>
  </si>
  <si>
    <t>d974772e3c314e3f23cc</t>
  </si>
  <si>
    <t>T185</t>
  </si>
  <si>
    <t>Newtown Creek Nature Walk</t>
  </si>
  <si>
    <t>C 160243 PSK</t>
  </si>
  <si>
    <t>C035</t>
  </si>
  <si>
    <t>a4495ff4e165569cdeef</t>
  </si>
  <si>
    <t>T186</t>
  </si>
  <si>
    <t>Kew Gardens Hills Estates</t>
  </si>
  <si>
    <t>C 880040 MMQ</t>
  </si>
  <si>
    <t>C015</t>
  </si>
  <si>
    <t>160defec91155f5c6a83</t>
  </si>
  <si>
    <t>T187</t>
  </si>
  <si>
    <t>C 940135 PPX</t>
  </si>
  <si>
    <t>C091</t>
  </si>
  <si>
    <t>8d256b8645ef3570947d</t>
  </si>
  <si>
    <t>T188</t>
  </si>
  <si>
    <t>Domino Sugar</t>
  </si>
  <si>
    <t>C 140132 ZSK</t>
  </si>
  <si>
    <t>70134bd1cf663c7dd865</t>
  </si>
  <si>
    <t>T189</t>
  </si>
  <si>
    <t>Rose Hill</t>
  </si>
  <si>
    <t>C 820449 ZMX</t>
  </si>
  <si>
    <t>3b5e450521369c22b4b0</t>
  </si>
  <si>
    <t>T190</t>
  </si>
  <si>
    <t>Arthur Kill Road/Richmond Ave Rezoning</t>
  </si>
  <si>
    <t>C 060063 ZMR</t>
  </si>
  <si>
    <t>C030</t>
  </si>
  <si>
    <t>e8c5096b1e43a5e720be</t>
  </si>
  <si>
    <t>T191</t>
  </si>
  <si>
    <t>Resilient Neighborhoods: Old Howard Beach</t>
  </si>
  <si>
    <t>C 210133 ZMQ</t>
  </si>
  <si>
    <t>d04f2cbd5950ba915eb0</t>
  </si>
  <si>
    <t>QN 10</t>
  </si>
  <si>
    <t>T192</t>
  </si>
  <si>
    <t>Convention Center Spec Dist</t>
  </si>
  <si>
    <t>C 900052 ZMM</t>
  </si>
  <si>
    <t>39adc63a4fa06249a9e0</t>
  </si>
  <si>
    <t>T193</t>
  </si>
  <si>
    <t>123-12 Sutphin Boulevard Rezoning</t>
  </si>
  <si>
    <t>C 240186 ZMQ</t>
  </si>
  <si>
    <t>797f6726b593c511217a</t>
  </si>
  <si>
    <t>T194</t>
  </si>
  <si>
    <t>Clearview Expway,26Th Ave,Kennedy St</t>
  </si>
  <si>
    <t>C 780287 ZMQ</t>
  </si>
  <si>
    <t>7fff0a06d7254df29196</t>
  </si>
  <si>
    <t>T195</t>
  </si>
  <si>
    <t>Red Hook Park Ballfield</t>
  </si>
  <si>
    <t>C 140227 MCK</t>
  </si>
  <si>
    <t>32be5ad99b5b437cba9d</t>
  </si>
  <si>
    <t>MC</t>
  </si>
  <si>
    <t>T196</t>
  </si>
  <si>
    <t>R2X Rezoning</t>
  </si>
  <si>
    <t>C 910255 ZMK</t>
  </si>
  <si>
    <t>C052</t>
  </si>
  <si>
    <t>972066b72c66c8244bb9</t>
  </si>
  <si>
    <t>T197</t>
  </si>
  <si>
    <t>Soho Tower</t>
  </si>
  <si>
    <t>C 170382 ZSM</t>
  </si>
  <si>
    <t>C100</t>
  </si>
  <si>
    <t>e7fca30f01ed17d39753</t>
  </si>
  <si>
    <t>T198</t>
  </si>
  <si>
    <t>Children'S World Dcc</t>
  </si>
  <si>
    <t>C 920381 PQK</t>
  </si>
  <si>
    <t>f7366df0114d4fcc0fa8</t>
  </si>
  <si>
    <t>T199</t>
  </si>
  <si>
    <t>27-24 College Point Boulevard Commercial Overlay</t>
  </si>
  <si>
    <t>C 220185 ZMQ</t>
  </si>
  <si>
    <t>C060</t>
  </si>
  <si>
    <t>f3085cc56cd0d4a25efb</t>
  </si>
  <si>
    <t>T200</t>
  </si>
  <si>
    <t>148-150 Greene Street, special permit</t>
  </si>
  <si>
    <t>C 010691 ZSM</t>
  </si>
  <si>
    <t>C088</t>
  </si>
  <si>
    <t>55f58faac321062fc6ac</t>
  </si>
  <si>
    <t>T201</t>
  </si>
  <si>
    <t>CPC report C 760072 HDK</t>
  </si>
  <si>
    <t>C 760072 HDK</t>
  </si>
  <si>
    <t>C013</t>
  </si>
  <si>
    <t>97d4ccb40d92b240c38f</t>
  </si>
  <si>
    <t>T202</t>
  </si>
  <si>
    <t>Special Inwood District Rezoning</t>
  </si>
  <si>
    <t>C 180204A ZMM</t>
  </si>
  <si>
    <t>C005</t>
  </si>
  <si>
    <t>e426f63cb8c698265de4</t>
  </si>
  <si>
    <t>T203</t>
  </si>
  <si>
    <t>Waldbaum'S</t>
  </si>
  <si>
    <t>C 850328 ZMQ</t>
  </si>
  <si>
    <t>C092</t>
  </si>
  <si>
    <t>5ff15b38926793e89ae6</t>
  </si>
  <si>
    <t>QN 13</t>
  </si>
  <si>
    <t>T204</t>
  </si>
  <si>
    <t>149 Wooster Street</t>
  </si>
  <si>
    <t>C 060102 ZSM</t>
  </si>
  <si>
    <t>5db099bd1a0ec5564421</t>
  </si>
  <si>
    <t>T205</t>
  </si>
  <si>
    <t>West Side Of Freeman St</t>
  </si>
  <si>
    <t>C 850547 PPX</t>
  </si>
  <si>
    <t>42bca0651507d337062e</t>
  </si>
  <si>
    <t>T206</t>
  </si>
  <si>
    <t>1St Amendment Brownsville Ii Ura</t>
  </si>
  <si>
    <t>C 910156 HUK</t>
  </si>
  <si>
    <t>2d4f963f664c05de8efa</t>
  </si>
  <si>
    <t>T207</t>
  </si>
  <si>
    <t>Washington-Greenwich Streets Rezoning</t>
  </si>
  <si>
    <t>C 100437 ZMM</t>
  </si>
  <si>
    <t>C045</t>
  </si>
  <si>
    <t>c27ee1f01580ac7558f6</t>
  </si>
  <si>
    <t>T208</t>
  </si>
  <si>
    <t>303 E188Th Street</t>
  </si>
  <si>
    <t>C 870125 HDX</t>
  </si>
  <si>
    <t>C032</t>
  </si>
  <si>
    <t>235b75fdd615a2b7c42d</t>
  </si>
  <si>
    <t>T209</t>
  </si>
  <si>
    <t>Parkside Sr Citizens Apts</t>
  </si>
  <si>
    <t>C 920404 HDR</t>
  </si>
  <si>
    <t>b64875b42460bfc21ce1</t>
  </si>
  <si>
    <t>T210</t>
  </si>
  <si>
    <t>C-O-P/So Blvd Pkg Lot</t>
  </si>
  <si>
    <t>C 890828 PPX</t>
  </si>
  <si>
    <t>C031</t>
  </si>
  <si>
    <t>454495b3c2b022fa8752</t>
  </si>
  <si>
    <t>T211</t>
  </si>
  <si>
    <t>Cornerstone Round 3 Site 4</t>
  </si>
  <si>
    <t>C 060409 HAM</t>
  </si>
  <si>
    <t>C098</t>
  </si>
  <si>
    <t>dafeb3022467e1363ffb</t>
  </si>
  <si>
    <t>T212</t>
  </si>
  <si>
    <t>1400 Story Avenue - York Studios</t>
  </si>
  <si>
    <t>C 230145 ZSX</t>
  </si>
  <si>
    <t>293ad01fd4c809090e01</t>
  </si>
  <si>
    <t>T213</t>
  </si>
  <si>
    <t>Macedonia Plaza</t>
  </si>
  <si>
    <t>C 100216 HAQ</t>
  </si>
  <si>
    <t>585394c5ea49855dee72</t>
  </si>
  <si>
    <t>T214</t>
  </si>
  <si>
    <t>C 970585 PPX</t>
  </si>
  <si>
    <t>C024</t>
  </si>
  <si>
    <t>b46672775a06a146cdb1</t>
  </si>
  <si>
    <t>T215</t>
  </si>
  <si>
    <t>Friends Of Crown Heights Day Care Center 2</t>
  </si>
  <si>
    <t>C 150282 PQK</t>
  </si>
  <si>
    <t>1fc4d5ec33417da3f747</t>
  </si>
  <si>
    <t>T216</t>
  </si>
  <si>
    <t>950-962 Richmond Avenue</t>
  </si>
  <si>
    <t>C 970160 ZMR</t>
  </si>
  <si>
    <t>C043</t>
  </si>
  <si>
    <t>b4402022fcecb716d311</t>
  </si>
  <si>
    <t>T217</t>
  </si>
  <si>
    <t>Crotona Park E./W. Farms Rezoning Text Amendment</t>
  </si>
  <si>
    <t>C 100310 ZMX</t>
  </si>
  <si>
    <t>C012</t>
  </si>
  <si>
    <t>14a35453152387e01bd7</t>
  </si>
  <si>
    <t>BX 03 BX 06</t>
  </si>
  <si>
    <t>T218</t>
  </si>
  <si>
    <t>Suprise Plastics Inc</t>
  </si>
  <si>
    <t>C 800624 PPK</t>
  </si>
  <si>
    <t>10664ac691c1474764c7</t>
  </si>
  <si>
    <t>T219</t>
  </si>
  <si>
    <t>C 940410 PPX</t>
  </si>
  <si>
    <t>C057</t>
  </si>
  <si>
    <t>785ebd56a3e2ff2d4746</t>
  </si>
  <si>
    <t>T220</t>
  </si>
  <si>
    <t>West 57Th Street Development</t>
  </si>
  <si>
    <t>C 010148 ZMM</t>
  </si>
  <si>
    <t>C001</t>
  </si>
  <si>
    <t>0eb7e00a7da706586d50</t>
  </si>
  <si>
    <t>T221</t>
  </si>
  <si>
    <t>143 Wadsworht Ave</t>
  </si>
  <si>
    <t>C 840965 HDM</t>
  </si>
  <si>
    <t>dee9eecfce143ceb835b</t>
  </si>
  <si>
    <t>T222</t>
  </si>
  <si>
    <t>McCarren Park Addition/Union Avenue Demapping</t>
  </si>
  <si>
    <t>C 110254 MMK</t>
  </si>
  <si>
    <t>96ff36c7ea1a25b1dbb0</t>
  </si>
  <si>
    <t>T223</t>
  </si>
  <si>
    <t>Evergreen Ave Boarding Home</t>
  </si>
  <si>
    <t>C 920375 PQX</t>
  </si>
  <si>
    <t>5de9c7780a154d21a197</t>
  </si>
  <si>
    <t>T224</t>
  </si>
  <si>
    <t>2513-2523 Avenue O Rezoning</t>
  </si>
  <si>
    <t>C 190438 ZMK</t>
  </si>
  <si>
    <t>C047</t>
  </si>
  <si>
    <t>dad09105a6b910330ec1</t>
  </si>
  <si>
    <t>T225</t>
  </si>
  <si>
    <t>Charles Drew Day Care Center</t>
  </si>
  <si>
    <t>C 050045 PQQ</t>
  </si>
  <si>
    <t>1caa818c9ef56fc3cab5</t>
  </si>
  <si>
    <t>T226</t>
  </si>
  <si>
    <t>P/O Marshall, Gold Hudson &amp; John Streets</t>
  </si>
  <si>
    <t>C 800106 MMK</t>
  </si>
  <si>
    <t>C003</t>
  </si>
  <si>
    <t>ec8ab493be3a445954e6</t>
  </si>
  <si>
    <t>T227</t>
  </si>
  <si>
    <t>North Shore Si Railway</t>
  </si>
  <si>
    <t>C 930518 PQR</t>
  </si>
  <si>
    <t>9630bae0577a7db334d9</t>
  </si>
  <si>
    <t>SI 01 SI 02</t>
  </si>
  <si>
    <t>T228</t>
  </si>
  <si>
    <t>Richmond Creek/Bluebelt</t>
  </si>
  <si>
    <t>C 100071 PCR</t>
  </si>
  <si>
    <t>C040</t>
  </si>
  <si>
    <t>582941093eabe45fc5fa</t>
  </si>
  <si>
    <t>T229</t>
  </si>
  <si>
    <t>Freeman St Ura</t>
  </si>
  <si>
    <t>C 870371 ZMK</t>
  </si>
  <si>
    <t>C095</t>
  </si>
  <si>
    <t>73e8cefd3ea66ac2e351</t>
  </si>
  <si>
    <t>T230</t>
  </si>
  <si>
    <t>Albert Einstein College of Medicine</t>
  </si>
  <si>
    <t>C 070558 ZSX</t>
  </si>
  <si>
    <t>C054</t>
  </si>
  <si>
    <t>d4228733831383734ba2</t>
  </si>
  <si>
    <t>T231</t>
  </si>
  <si>
    <t>Mill Basin</t>
  </si>
  <si>
    <t>C 120108 ZMK</t>
  </si>
  <si>
    <t>ac5069f9c7d0f037a481</t>
  </si>
  <si>
    <t>BK 18</t>
  </si>
  <si>
    <t>T232</t>
  </si>
  <si>
    <t>120 East 125th Street-Former Firehouse</t>
  </si>
  <si>
    <t>C 070133 PPM</t>
  </si>
  <si>
    <t>C069</t>
  </si>
  <si>
    <t>fbcaa73dc1c8c1588fc2</t>
  </si>
  <si>
    <t>T233</t>
  </si>
  <si>
    <t>Fordham University Pkg Garage</t>
  </si>
  <si>
    <t>C 030326 ZSX</t>
  </si>
  <si>
    <t>C033</t>
  </si>
  <si>
    <t>0aa168449468b04fafe6</t>
  </si>
  <si>
    <t>T234</t>
  </si>
  <si>
    <t>Staten Island Court House</t>
  </si>
  <si>
    <t>C 080379 PSR</t>
  </si>
  <si>
    <t>C090</t>
  </si>
  <si>
    <t>7f25258f0af490b3ae3e</t>
  </si>
  <si>
    <t>T235</t>
  </si>
  <si>
    <t>112-06 71st Road Rezoning</t>
  </si>
  <si>
    <t>C 190422 ZMQ</t>
  </si>
  <si>
    <t>C079</t>
  </si>
  <si>
    <t>f4fa08a844f230b54ddc</t>
  </si>
  <si>
    <t>T236</t>
  </si>
  <si>
    <t>21 E73Rd St</t>
  </si>
  <si>
    <t>C 000064 ZSM</t>
  </si>
  <si>
    <t>33d63e8eba537534bd23</t>
  </si>
  <si>
    <t>T237</t>
  </si>
  <si>
    <t>150 Wooster Street</t>
  </si>
  <si>
    <t>C 120201 ZSM</t>
  </si>
  <si>
    <t>3d839ce6bd21a15fa683</t>
  </si>
  <si>
    <t>T238</t>
  </si>
  <si>
    <t>134-140 Grand St</t>
  </si>
  <si>
    <t>C 821090 ZSM</t>
  </si>
  <si>
    <t>5fda80c71e675f32a942</t>
  </si>
  <si>
    <t>T239</t>
  </si>
  <si>
    <t>229 E 4Th St</t>
  </si>
  <si>
    <t>C 820876 HDM</t>
  </si>
  <si>
    <t>2692bee2c3eb75dfe197</t>
  </si>
  <si>
    <t>T240</t>
  </si>
  <si>
    <t>C 880067 PPR</t>
  </si>
  <si>
    <t>4017c2df3fd228884dac</t>
  </si>
  <si>
    <t>T241</t>
  </si>
  <si>
    <t>314 West 43rd Street Special Permit</t>
  </si>
  <si>
    <t>C 200352 ZSM</t>
  </si>
  <si>
    <t>3520c42ab8326fb0fab6</t>
  </si>
  <si>
    <t>T242</t>
  </si>
  <si>
    <t>C 970255 PPK</t>
  </si>
  <si>
    <t>C021</t>
  </si>
  <si>
    <t>4087b07d8c35fa97eb0a</t>
  </si>
  <si>
    <t>T243</t>
  </si>
  <si>
    <t>5 Borough Shops Relocation Site</t>
  </si>
  <si>
    <t>C 140388 PCX</t>
  </si>
  <si>
    <t>C039</t>
  </si>
  <si>
    <t>cd2b07b146e3f53d533e</t>
  </si>
  <si>
    <t>T244</t>
  </si>
  <si>
    <t>Olcott Hotel</t>
  </si>
  <si>
    <t>C 950219 ZSM</t>
  </si>
  <si>
    <t>65813a2edb07ba73d075</t>
  </si>
  <si>
    <t>T245</t>
  </si>
  <si>
    <t>Beacon Park</t>
  </si>
  <si>
    <t>C 060212 HAM</t>
  </si>
  <si>
    <t>6e1f35db3419fd8eb86a</t>
  </si>
  <si>
    <t>T246</t>
  </si>
  <si>
    <t>Royal Farms Supermarket Expansion</t>
  </si>
  <si>
    <t>C 930169 ZMQ</t>
  </si>
  <si>
    <t>f4c49bf5e475fa166fbb</t>
  </si>
  <si>
    <t>T247</t>
  </si>
  <si>
    <t>North Corona 2 Rezoning</t>
  </si>
  <si>
    <t>C 090112 ZMQ</t>
  </si>
  <si>
    <t>27dd42e7f0df8b382340</t>
  </si>
  <si>
    <t>T248</t>
  </si>
  <si>
    <t>Hermes Of Paris Sidewalk</t>
  </si>
  <si>
    <t>C 860391 GFM</t>
  </si>
  <si>
    <t>4cece07511cfaa93044f</t>
  </si>
  <si>
    <t>T249</t>
  </si>
  <si>
    <t>217 West 29th Street</t>
  </si>
  <si>
    <t>N 160147 ZRM</t>
  </si>
  <si>
    <t>160cf8e524d4eaf1cf07</t>
  </si>
  <si>
    <t>T250</t>
  </si>
  <si>
    <t>521 East Tremont Avenue Rezoning</t>
  </si>
  <si>
    <t>C 220306 ZMX</t>
  </si>
  <si>
    <t>bc13146d7b6f47b10a02</t>
  </si>
  <si>
    <t>T251</t>
  </si>
  <si>
    <t>1218 Boston Rd</t>
  </si>
  <si>
    <t>C 870555 HDX</t>
  </si>
  <si>
    <t>f7febef572eb9cd3a061</t>
  </si>
  <si>
    <t>T252</t>
  </si>
  <si>
    <t>Special Forest Hills District</t>
  </si>
  <si>
    <t>N 090103 ZRQ</t>
  </si>
  <si>
    <t>e6b6467f9ce3d3e0b8af</t>
  </si>
  <si>
    <t>T253</t>
  </si>
  <si>
    <t>Rockaway Beach Housing For Singles</t>
  </si>
  <si>
    <t>C 870650 ZSQ</t>
  </si>
  <si>
    <t>C008</t>
  </si>
  <si>
    <t>1dc1155eaeee22e0fecb</t>
  </si>
  <si>
    <t>T254</t>
  </si>
  <si>
    <t>Wingate Ambulance Station</t>
  </si>
  <si>
    <t>C 990192 ZSK</t>
  </si>
  <si>
    <t>C016</t>
  </si>
  <si>
    <t>b6df92d26f272208f161</t>
  </si>
  <si>
    <t>BK 17</t>
  </si>
  <si>
    <t>T255</t>
  </si>
  <si>
    <t>Madison Ave, E50Th &amp; E51Sts</t>
  </si>
  <si>
    <t>C 800163 GFM</t>
  </si>
  <si>
    <t>3a33dc611f921ccd2784</t>
  </si>
  <si>
    <t>T256</t>
  </si>
  <si>
    <t>Edgemere Ura Map Changes</t>
  </si>
  <si>
    <t>C 950223 MMQ</t>
  </si>
  <si>
    <t>3b3d30adf12a4c96cbaa</t>
  </si>
  <si>
    <t>T257</t>
  </si>
  <si>
    <t>56-74 W23Rd St A/K/A 696-712 6Th Ave</t>
  </si>
  <si>
    <t>C 980562 ZMM</t>
  </si>
  <si>
    <t>5d1ccb9935ecbfb05f92</t>
  </si>
  <si>
    <t>T258</t>
  </si>
  <si>
    <t>Mariner's Harbor Public Library</t>
  </si>
  <si>
    <t>C 040540 PCR</t>
  </si>
  <si>
    <t>C004</t>
  </si>
  <si>
    <t>52ccb39584b9bc3a1d4a</t>
  </si>
  <si>
    <t>T259</t>
  </si>
  <si>
    <t>Westchester Square Rezoning</t>
  </si>
  <si>
    <t>C 060180 ZMX</t>
  </si>
  <si>
    <t>C037</t>
  </si>
  <si>
    <t>1104781708089de192a7</t>
  </si>
  <si>
    <t>T260</t>
  </si>
  <si>
    <t>Harlem Dowling</t>
  </si>
  <si>
    <t>C 130272 HAM</t>
  </si>
  <si>
    <t>C059</t>
  </si>
  <si>
    <t>f3e40ed8404c5c907260</t>
  </si>
  <si>
    <t>T261</t>
  </si>
  <si>
    <t>341 10th Street Rezoning and LSGD Special Permits</t>
  </si>
  <si>
    <t>C 230337 ZMK</t>
  </si>
  <si>
    <t>87981f459a4de484f6d4</t>
  </si>
  <si>
    <t>T262</t>
  </si>
  <si>
    <t>Greenpoint Men'S Shelter</t>
  </si>
  <si>
    <t>C 890619 PSK</t>
  </si>
  <si>
    <t>C074</t>
  </si>
  <si>
    <t>7d6033d3967fa0e549f6</t>
  </si>
  <si>
    <t>T263</t>
  </si>
  <si>
    <t>C 970031 PPQ</t>
  </si>
  <si>
    <t>4bb21ed9a897dd8d33de</t>
  </si>
  <si>
    <t>T264</t>
  </si>
  <si>
    <t>Ruth Fernandez Family Residence</t>
  </si>
  <si>
    <t>C 870346 PLX</t>
  </si>
  <si>
    <t>eb87d996fd8ef99ecbba</t>
  </si>
  <si>
    <t>T265</t>
  </si>
  <si>
    <t>NYCTA Tuskegee Airmen Way City Map Change</t>
  </si>
  <si>
    <t>C 240097 MMQ</t>
  </si>
  <si>
    <t>9cd890dca3925b78002d</t>
  </si>
  <si>
    <t>T266</t>
  </si>
  <si>
    <t>Bklyn North District Garage 1</t>
  </si>
  <si>
    <t>C 970338 PQK</t>
  </si>
  <si>
    <t>cc014b8fa1a8431355c9</t>
  </si>
  <si>
    <t>T267</t>
  </si>
  <si>
    <t>Red Hook I</t>
  </si>
  <si>
    <t>C 810418 MMK</t>
  </si>
  <si>
    <t>890a296b9a37373c2189</t>
  </si>
  <si>
    <t>T268</t>
  </si>
  <si>
    <t>Tides at Charleston</t>
  </si>
  <si>
    <t>C 030449 ZMR</t>
  </si>
  <si>
    <t>94ff21d368050027921d</t>
  </si>
  <si>
    <t>T269</t>
  </si>
  <si>
    <t>2080 McDonald Avenue</t>
  </si>
  <si>
    <t>C 210174 ZMK</t>
  </si>
  <si>
    <t>C099</t>
  </si>
  <si>
    <t>07437e462fa3908ed8a2</t>
  </si>
  <si>
    <t>T270</t>
  </si>
  <si>
    <t>Beach 67th Street Rezoning</t>
  </si>
  <si>
    <t>C 200230 ZMQ</t>
  </si>
  <si>
    <t>9389e8109d6d24b52dbd</t>
  </si>
  <si>
    <t>T271</t>
  </si>
  <si>
    <t>19 East 72nd Street</t>
  </si>
  <si>
    <t>C 170452 ZSM</t>
  </si>
  <si>
    <t>C051</t>
  </si>
  <si>
    <t>02c18c0a3b85fce07355</t>
  </si>
  <si>
    <t>T272</t>
  </si>
  <si>
    <t>26-30 W61Th St,39-43 W60Th St</t>
  </si>
  <si>
    <t>C 760047 ZPM</t>
  </si>
  <si>
    <t>8c9e7bab536eb0740260</t>
  </si>
  <si>
    <t>ZP</t>
  </si>
  <si>
    <t>T273</t>
  </si>
  <si>
    <t>Farmers Market Jamaica</t>
  </si>
  <si>
    <t>C 760138 ZSQ</t>
  </si>
  <si>
    <t>0b327f7dc35f69e69e30</t>
  </si>
  <si>
    <t>T274</t>
  </si>
  <si>
    <t>792 Dekalb Ave</t>
  </si>
  <si>
    <t>C 020416 DMK</t>
  </si>
  <si>
    <t>C053</t>
  </si>
  <si>
    <t>cdf2dabf191a788637a1</t>
  </si>
  <si>
    <t>T275</t>
  </si>
  <si>
    <t>CPC report C 800949 PPK</t>
  </si>
  <si>
    <t>C 800949 PPK</t>
  </si>
  <si>
    <t>a195b2fb9130e05f5c42</t>
  </si>
  <si>
    <t>T276</t>
  </si>
  <si>
    <t>Lefferts Blvd Bridge</t>
  </si>
  <si>
    <t>C 910422 MMQ</t>
  </si>
  <si>
    <t>C084</t>
  </si>
  <si>
    <t>4b026df915da0008d83f</t>
  </si>
  <si>
    <t>QN 09</t>
  </si>
  <si>
    <t>T277</t>
  </si>
  <si>
    <t>S &amp; L Aerospace Metals</t>
  </si>
  <si>
    <t>C 150173 PPQ</t>
  </si>
  <si>
    <t>279309e189b23f55545e</t>
  </si>
  <si>
    <t>T278</t>
  </si>
  <si>
    <t>Bathgate Dcc</t>
  </si>
  <si>
    <t>C 010506 PQX</t>
  </si>
  <si>
    <t>9d0d106d3933909ddbda</t>
  </si>
  <si>
    <t>T279</t>
  </si>
  <si>
    <t>Peter Cintron Apartments, UDAAP designation and project approval and disposition of C-O-P to a developer to be determined by HPD.</t>
  </si>
  <si>
    <t>C 040218 HAX</t>
  </si>
  <si>
    <t>549639f6da6dd0227378</t>
  </si>
  <si>
    <t>T280</t>
  </si>
  <si>
    <t>Canarsie Plaza</t>
  </si>
  <si>
    <t>C 070278 PPK</t>
  </si>
  <si>
    <t>C028</t>
  </si>
  <si>
    <t>dfbeb22d54b81d6de2f2</t>
  </si>
  <si>
    <t>T281</t>
  </si>
  <si>
    <t>C 880401 PPK</t>
  </si>
  <si>
    <t>925e47e02c671c853c41</t>
  </si>
  <si>
    <t>T282</t>
  </si>
  <si>
    <t>260 6Th Ave</t>
  </si>
  <si>
    <t>C 760132 TCM</t>
  </si>
  <si>
    <t>C096</t>
  </si>
  <si>
    <t>0e6500033b0a740f5091</t>
  </si>
  <si>
    <t>T283</t>
  </si>
  <si>
    <t>Caristo Child Care,And Amico Snrct</t>
  </si>
  <si>
    <t>C 920232 PQK</t>
  </si>
  <si>
    <t>C027</t>
  </si>
  <si>
    <t>c27dc140a41bf216e3fc</t>
  </si>
  <si>
    <t>T284</t>
  </si>
  <si>
    <t>McDonald Avenue Catering</t>
  </si>
  <si>
    <t>C 180171 ZMK</t>
  </si>
  <si>
    <t>4f7f4409d8d0193e4155</t>
  </si>
  <si>
    <t>T285</t>
  </si>
  <si>
    <t>129 Lafayette St</t>
  </si>
  <si>
    <t>C 030139 ZSM</t>
  </si>
  <si>
    <t>055c8b44743a37d848da</t>
  </si>
  <si>
    <t>T286</t>
  </si>
  <si>
    <t>1164 Broadway</t>
  </si>
  <si>
    <t>C 170182 ZSM</t>
  </si>
  <si>
    <t>76fc1092a51e0abf52b1</t>
  </si>
  <si>
    <t>T287</t>
  </si>
  <si>
    <t>Gateway Site 26a and Phase 5</t>
  </si>
  <si>
    <t>C 220406 HUK</t>
  </si>
  <si>
    <t>2751e38c6ab2263ffe03</t>
  </si>
  <si>
    <t>T288</t>
  </si>
  <si>
    <t>C-O-P/2 Parcels</t>
  </si>
  <si>
    <t>C 000092 PPM</t>
  </si>
  <si>
    <t>C019</t>
  </si>
  <si>
    <t>ba87f41804263ea98bec</t>
  </si>
  <si>
    <t>T289</t>
  </si>
  <si>
    <t>Socrates Sculpture Park</t>
  </si>
  <si>
    <t>C 050319 MMQ</t>
  </si>
  <si>
    <t>3382130c281f6fd14337</t>
  </si>
  <si>
    <t>T290</t>
  </si>
  <si>
    <t>Block 675 - EMS #7 Relocation</t>
  </si>
  <si>
    <t>C 220468 PCM</t>
  </si>
  <si>
    <t>C026</t>
  </si>
  <si>
    <t>531250bade871c63754d</t>
  </si>
  <si>
    <t>T291</t>
  </si>
  <si>
    <t>Carroll Street</t>
  </si>
  <si>
    <t>C 060018 ZMK</t>
  </si>
  <si>
    <t>37b8cd36ff1551a2e1da</t>
  </si>
  <si>
    <t>T292</t>
  </si>
  <si>
    <t>Randall's Island Aquatic Center</t>
  </si>
  <si>
    <t>C 040459 MCM</t>
  </si>
  <si>
    <t>d49a8654e0a20d07dd64</t>
  </si>
  <si>
    <t>T293</t>
  </si>
  <si>
    <t>C 920316 PPQ</t>
  </si>
  <si>
    <t>15b147b6c4d81417c990</t>
  </si>
  <si>
    <t>T294</t>
  </si>
  <si>
    <t>CPC report C 770371 PSQ</t>
  </si>
  <si>
    <t>C 770371 PSQ</t>
  </si>
  <si>
    <t>c96a0e773fec62ba9e84</t>
  </si>
  <si>
    <t>T295</t>
  </si>
  <si>
    <t>54 Greene Street</t>
  </si>
  <si>
    <t>C 090002 ZSM</t>
  </si>
  <si>
    <t>C086</t>
  </si>
  <si>
    <t>319512a50ae528cf6583</t>
  </si>
  <si>
    <t>T296</t>
  </si>
  <si>
    <t>Frangelica Rest</t>
  </si>
  <si>
    <t>C 860102 ZMX</t>
  </si>
  <si>
    <t>5ac0472aabc1629d9802</t>
  </si>
  <si>
    <t>T297</t>
  </si>
  <si>
    <t>Harlem NCP Western Site</t>
  </si>
  <si>
    <t>C 200279 HAM</t>
  </si>
  <si>
    <t>C066</t>
  </si>
  <si>
    <t>ac7ebd4cfa8ea4816569</t>
  </si>
  <si>
    <t>T298</t>
  </si>
  <si>
    <t>St. Paul's Playground</t>
  </si>
  <si>
    <t>C 060502 HUM</t>
  </si>
  <si>
    <t>e232aff05de2089ea726</t>
  </si>
  <si>
    <t>T299</t>
  </si>
  <si>
    <t>96 Spring Street</t>
  </si>
  <si>
    <t>C 040201A ZSM</t>
  </si>
  <si>
    <t>eb0e1e13c37954f7086c</t>
  </si>
  <si>
    <t>T300</t>
  </si>
  <si>
    <t>Northeast North Shore Rezoning (zoning map amendment)</t>
  </si>
  <si>
    <t>C 030001 ZMR</t>
  </si>
  <si>
    <t>2f0ee75b185bbc0b5a3b</t>
  </si>
  <si>
    <t>section</t>
  </si>
  <si>
    <t>variable</t>
  </si>
  <si>
    <t>allowed_values</t>
  </si>
  <si>
    <t>coding_rule</t>
  </si>
  <si>
    <t>absence_rule</t>
  </si>
  <si>
    <t>notes</t>
  </si>
  <si>
    <t>General</t>
  </si>
  <si>
    <t>all binary labels</t>
  </si>
  <si>
    <t>0, 1, unclear</t>
  </si>
  <si>
    <t>Use 1 only when the CPC report supports the definition.</t>
  </si>
  <si>
    <t>Use 0 when the report does not support the definition.</t>
  </si>
  <si>
    <t>Use unclear sparingly. A blank cell means not yet coded.</t>
  </si>
  <si>
    <t>Process</t>
  </si>
  <si>
    <t>The report documents substantive local opposition to the application or project.</t>
  </si>
  <si>
    <t>No substantive local opposition is documented.</t>
  </si>
  <si>
    <t>Count CB, BP, councilmember, civic-group, resident, or tenant opposition.</t>
  </si>
  <si>
    <t>A local actor requests a change, condition, commitment, mitigation, or alternative.</t>
  </si>
  <si>
    <t>No substantive local request or condition is documented.</t>
  </si>
  <si>
    <t>Do not count procedural referral or generic consultation language.</t>
  </si>
  <si>
    <t>The project or application changed, or the applicant or agency made a substantive concession, commitment, or mitigation.</t>
  </si>
  <si>
    <t>No substantive revision, concession, commitment, or mitigation is documented.</t>
  </si>
  <si>
    <t>Exclude boilerplate modifications, document dates, studies, outreach, and monitoring alone.</t>
  </si>
  <si>
    <t>The response is a study, task force, monitoring, reporting, outreach, or future consultation.</t>
  </si>
  <si>
    <t>No such procedural response is documented.</t>
  </si>
  <si>
    <t>This may coexist with a revision or concession; exclude a study that merely predates review.</t>
  </si>
  <si>
    <t>The report explicitly links local opposition or a local request to a change or response.</t>
  </si>
  <si>
    <t>No explicit local-to-response link is stated.</t>
  </si>
  <si>
    <t>Do not infer causation only because a change followed a hearing.</t>
  </si>
  <si>
    <t>CPC approved while rejecting, deferring, or leaving a specific local objection unresolved.</t>
  </si>
  <si>
    <t>The report does not identify a specific unresolved local objection at approval.</t>
  </si>
  <si>
    <t>General opposition alone is insufficient without an identifiable unresolved demand.</t>
  </si>
  <si>
    <t>Actors</t>
  </si>
  <si>
    <t>A community board opposes or requests a substantive change, condition, commitment, or alternative.</t>
  </si>
  <si>
    <t>The CB is absent, appears only procedurally, or supports without a substantive request.</t>
  </si>
  <si>
    <t>Conditioned approval counts even when the CB does not recommend disapproval.</t>
  </si>
  <si>
    <t>A borough president opposes or requests a substantive change, condition, commitment, or alternative.</t>
  </si>
  <si>
    <t>The BP is absent, appears only procedurally, or supports without a substantive request.</t>
  </si>
  <si>
    <t>Conditioned approval counts even when the BP does not recommend disapproval.</t>
  </si>
  <si>
    <t>none_or_procedural, support_or_request, opposition, unclear</t>
  </si>
  <si>
    <t>support_or_request: An individual councilmember supports the proposal or makes a substantive request, condition, or recommendation without opposing it.; opposition: An individual councilmember opposes all or part of the proposal.</t>
  </si>
  <si>
    <t>none_or_procedural: No substantive individual councilmember role is documented.</t>
  </si>
  <si>
    <t>Exclude Council procedure. If members differ, use opposition when any member opposes and note the mixed positions.</t>
  </si>
  <si>
    <t>support_or_request: A named civic, neighborhood, tenant, business, or community organization supports the proposal or makes a substantive request without opposing it.; opposition: A named organization opposes all or part of the proposal.</t>
  </si>
  <si>
    <t>none_or_procedural: No named organization takes a substantive position.</t>
  </si>
  <si>
    <t>Exclude residents speaking only as individuals. If groups differ, use opposition when any group opposes and note the mixed positions.</t>
  </si>
  <si>
    <t>Issues</t>
  </si>
  <si>
    <t>Affordability, displacement, tenant protection, harassment, or housing access is a substantive local issue.</t>
  </si>
  <si>
    <t>Those topics are absent or appear only in the project description.</t>
  </si>
  <si>
    <t>Affordable units alone do not make this positive.</t>
  </si>
  <si>
    <t>Traffic, parking, loading, trucks, congestion, or curb use is a substantive local issue.</t>
  </si>
  <si>
    <t>No such local issue is documented.</t>
  </si>
  <si>
    <t>Exclude neutral transportation descriptions.</t>
  </si>
  <si>
    <t>Scale, height, density, bulk, design, shadows, neighborhood character, landmarks, or preservation is a substantive local issue.</t>
  </si>
  <si>
    <t>Exclude neutral dimensional descriptions and landmark names alone.</t>
  </si>
  <si>
    <t>Schools, sewer, transit, sanitation, utilities, public facilities, or service capacity is a substantive local issue.</t>
  </si>
  <si>
    <t>Exclude background service descriptions.</t>
  </si>
  <si>
    <t>Environmental effects, remediation, water quality, parks, waterfront access, or open space is a substantive local issue.</t>
  </si>
  <si>
    <t>Routine CEQR language alone is insufficient.</t>
  </si>
  <si>
    <t>Review</t>
  </si>
  <si>
    <t>free text</t>
  </si>
  <si>
    <t>Printed CPC-report page numbers supporting the coding, such as 16; 23-24.</t>
  </si>
  <si>
    <t>one sentence</t>
  </si>
  <si>
    <t>Briefly state the opposition/request, response, and unresolved issue if present.</t>
  </si>
  <si>
    <t>high, medium, low</t>
  </si>
  <si>
    <t>Confidence in the full row after reading the report.</t>
  </si>
  <si>
    <t>0, 1</t>
  </si>
  <si>
    <t>Enter 1 only after every coding field and the evidence fields are complete.</t>
  </si>
  <si>
    <t>Optional ambiguity or adjudication note.</t>
  </si>
  <si>
    <t>none_or_procedural</t>
  </si>
  <si>
    <t>high</t>
  </si>
  <si>
    <t xml:space="preserve">sidewalk café. No opposition </t>
  </si>
  <si>
    <t>1-2</t>
  </si>
  <si>
    <t>1-4</t>
  </si>
  <si>
    <t>dialysis, no opposition, basic conditions on size</t>
  </si>
  <si>
    <t>specific_project</t>
  </si>
  <si>
    <t>dev_direction</t>
  </si>
  <si>
    <t>Project</t>
  </si>
  <si>
    <t>The proposal is a specific development project.</t>
  </si>
  <si>
    <t xml:space="preserve">Proposal is a neighborhood change, no iminent project </t>
  </si>
  <si>
    <t>upzone, downzone, mixed, none</t>
  </si>
  <si>
    <t>Upzoning (added density), Downzoning (less density), mixed/ambiguous change (non-housing related zoning change), none (minor changes like sidewalk café or dialysis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</si>
</sst>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9"/>
      <color rgb="FFFFFFFF"/>
      <name val="Carlito"/>
    </font>
    <font>
      <sz val="10"/>
      <name val="Carlito"/>
    </font>
    <font>
      <b/>
      <sz val="10"/>
      <color rgb="FFFFFFFF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40484F"/>
      </patternFill>
    </fill>
    <fill>
      <patternFill patternType="solid">
        <fgColor rgb="FF256B57"/>
      </patternFill>
    </fill>
    <fill>
      <patternFill patternType="solid">
        <fgColor rgb="FF386A8A"/>
      </patternFill>
    </fill>
    <fill>
      <patternFill patternType="solid">
        <fgColor rgb="FF8A6A24"/>
      </patternFill>
    </fill>
    <fill>
      <patternFill patternType="solid">
        <fgColor rgb="FF5C6470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/>
    </xf>
    <xf numFmtId="49" fontId="0" fillId="0" borderId="0" xfId="0" applyNumberFormat="1"/>
    <xf numFmtId="0" fontId="1" fillId="7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lerCodingTable" displayName="TylerCodingTable" ref="A1:AF301" totalsRowShown="0">
  <tableColumns count="32">
    <tableColumn id="1" xr3:uid="{00000000-0010-0000-0000-000001000000}" name="review_id"/>
    <tableColumn id="2" xr3:uid="{00000000-0010-0000-0000-000002000000}" name="project_name"/>
    <tableColumn id="3" xr3:uid="{00000000-0010-0000-0000-000003000000}" name="vote_year"/>
    <tableColumn id="4" xr3:uid="{00000000-0010-0000-0000-000004000000}" name="application_number"/>
    <tableColumn id="5" xr3:uid="{00000000-0010-0000-0000-000005000000}" name="open_report"/>
    <tableColumn id="31" xr3:uid="{87649439-5406-BD4F-A4A9-E6FDF5379FC2}" name="specific_project" dataDxfId="1"/>
    <tableColumn id="32" xr3:uid="{C695D3D0-B7D1-4D49-9B85-764B573689E6}" name="dev_direction" dataDxfId="0"/>
    <tableColumn id="6" xr3:uid="{00000000-0010-0000-0000-000006000000}" name="local_opposition"/>
    <tableColumn id="7" xr3:uid="{00000000-0010-0000-0000-000007000000}" name="local_request_condition"/>
    <tableColumn id="8" xr3:uid="{00000000-0010-0000-0000-000008000000}" name="revision_or_concession"/>
    <tableColumn id="9" xr3:uid="{00000000-0010-0000-0000-000009000000}" name="procedural_response"/>
    <tableColumn id="10" xr3:uid="{00000000-0010-0000-0000-00000A000000}" name="explicit_local_response"/>
    <tableColumn id="11" xr3:uid="{00000000-0010-0000-0000-00000B000000}" name="approved_unresolved_objection"/>
    <tableColumn id="12" xr3:uid="{00000000-0010-0000-0000-00000C000000}" name="cb_request_or_opposition"/>
    <tableColumn id="13" xr3:uid="{00000000-0010-0000-0000-00000D000000}" name="bp_request_or_opposition"/>
    <tableColumn id="14" xr3:uid="{00000000-0010-0000-0000-00000E000000}" name="councilmember_position"/>
    <tableColumn id="15" xr3:uid="{00000000-0010-0000-0000-00000F000000}" name="civic_group_position"/>
    <tableColumn id="16" xr3:uid="{00000000-0010-0000-0000-000010000000}" name="affordability_displacement"/>
    <tableColumn id="17" xr3:uid="{00000000-0010-0000-0000-000011000000}" name="traffic_parking"/>
    <tableColumn id="18" xr3:uid="{00000000-0010-0000-0000-000012000000}" name="scale_character_preservation"/>
    <tableColumn id="19" xr3:uid="{00000000-0010-0000-0000-000013000000}" name="infrastructure_services"/>
    <tableColumn id="20" xr3:uid="{00000000-0010-0000-0000-000014000000}" name="environment_open_space"/>
    <tableColumn id="21" xr3:uid="{00000000-0010-0000-0000-000015000000}" name="evidence_pages" dataDxfId="2"/>
    <tableColumn id="22" xr3:uid="{00000000-0010-0000-0000-000016000000}" name="evidence_summary"/>
    <tableColumn id="23" xr3:uid="{00000000-0010-0000-0000-000017000000}" name="coding_confidence"/>
    <tableColumn id="24" xr3:uid="{00000000-0010-0000-0000-000018000000}" name="coding_complete"/>
    <tableColumn id="25" xr3:uid="{00000000-0010-0000-0000-000019000000}" name="coder_notes"/>
    <tableColumn id="26" xr3:uid="{00000000-0010-0000-0000-00001A000000}" name="sample_group"/>
    <tableColumn id="27" xr3:uid="{00000000-0010-0000-0000-00001B000000}" name="shared_id"/>
    <tableColumn id="28" xr3:uid="{00000000-0010-0000-0000-00001C000000}" name="document_id"/>
    <tableColumn id="29" xr3:uid="{00000000-0010-0000-0000-00001D000000}" name="action_code"/>
    <tableColumn id="30" xr3:uid="{00000000-0010-0000-0000-00001E000000}" name="community_distric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ylerCodebookTable" displayName="TylerCodebookTable" ref="A1:F24" totalsRowShown="0">
  <tableColumns count="6">
    <tableColumn id="1" xr3:uid="{00000000-0010-0000-0100-000001000000}" name="section"/>
    <tableColumn id="2" xr3:uid="{00000000-0010-0000-0100-000002000000}" name="variable"/>
    <tableColumn id="3" xr3:uid="{00000000-0010-0000-0100-000003000000}" name="allowed_values"/>
    <tableColumn id="4" xr3:uid="{00000000-0010-0000-0100-000004000000}" name="coding_rule"/>
    <tableColumn id="5" xr3:uid="{00000000-0010-0000-0100-000005000000}" name="absence_rule"/>
    <tableColumn id="6" xr3:uid="{00000000-0010-0000-0100-000006000000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1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17" sqref="I17"/>
    </sheetView>
  </sheetViews>
  <sheetFormatPr baseColWidth="10" defaultColWidth="8.83203125" defaultRowHeight="14"/>
  <cols>
    <col min="1" max="1" width="10" customWidth="1"/>
    <col min="2" max="2" width="31" customWidth="1"/>
    <col min="3" max="3" width="9" customWidth="1"/>
    <col min="4" max="4" width="17" customWidth="1"/>
    <col min="5" max="5" width="12" customWidth="1"/>
    <col min="6" max="6" width="15.33203125" customWidth="1"/>
    <col min="7" max="7" width="12" customWidth="1"/>
    <col min="8" max="15" width="17" customWidth="1"/>
    <col min="16" max="17" width="23" customWidth="1"/>
    <col min="18" max="22" width="17" customWidth="1"/>
    <col min="23" max="23" width="14" customWidth="1"/>
    <col min="24" max="24" width="42" customWidth="1"/>
    <col min="25" max="25" width="14" customWidth="1"/>
    <col min="26" max="26" width="13" customWidth="1"/>
    <col min="27" max="27" width="34" customWidth="1"/>
    <col min="28" max="28" width="14" customWidth="1"/>
    <col min="29" max="29" width="10" customWidth="1"/>
    <col min="30" max="30" width="22" customWidth="1"/>
    <col min="31" max="31" width="10" customWidth="1"/>
    <col min="32" max="32" width="16" customWidth="1"/>
  </cols>
  <sheetData>
    <row r="1" spans="1:32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1474</v>
      </c>
      <c r="G1" s="12" t="s">
        <v>1475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</row>
    <row r="2" spans="1:32">
      <c r="A2" s="6" t="s">
        <v>30</v>
      </c>
      <c r="B2" s="6" t="s">
        <v>31</v>
      </c>
      <c r="C2" s="6">
        <v>1977</v>
      </c>
      <c r="D2" s="6" t="s">
        <v>32</v>
      </c>
      <c r="E2" s="6" t="str">
        <f>HYPERLINK("https://www1.nyc.gov/assets/planning/download/pdf/about/cpc/770091.pdf","Open PDF")</f>
        <v>Open PDF</v>
      </c>
      <c r="F2" s="6"/>
      <c r="G2" s="6"/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 t="s">
        <v>1468</v>
      </c>
      <c r="Q2" s="7" t="s">
        <v>1468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10" t="s">
        <v>1471</v>
      </c>
      <c r="X2" s="6" t="s">
        <v>1470</v>
      </c>
      <c r="Y2" s="6" t="s">
        <v>1469</v>
      </c>
      <c r="Z2" s="6">
        <v>1</v>
      </c>
      <c r="AA2" s="6" t="s">
        <v>1470</v>
      </c>
      <c r="AB2" s="6" t="s">
        <v>33</v>
      </c>
      <c r="AC2" s="6"/>
      <c r="AD2" s="6" t="s">
        <v>34</v>
      </c>
      <c r="AE2" s="6" t="s">
        <v>35</v>
      </c>
      <c r="AF2" s="6" t="s">
        <v>36</v>
      </c>
    </row>
    <row r="3" spans="1:32">
      <c r="A3" s="6" t="s">
        <v>37</v>
      </c>
      <c r="B3" s="6" t="s">
        <v>38</v>
      </c>
      <c r="C3" s="6">
        <v>1985</v>
      </c>
      <c r="D3" s="6" t="s">
        <v>39</v>
      </c>
      <c r="E3" s="6" t="str">
        <f>HYPERLINK("https://www1.nyc.gov/assets/planning/download/pdf/about/cpc/850236.pdf","Open PDF")</f>
        <v>Open PDF</v>
      </c>
      <c r="F3" s="6"/>
      <c r="G3" s="6"/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 t="s">
        <v>1468</v>
      </c>
      <c r="Q3" s="7" t="s">
        <v>1468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10" t="s">
        <v>1472</v>
      </c>
      <c r="X3" s="6" t="s">
        <v>1473</v>
      </c>
      <c r="Y3" s="6" t="s">
        <v>1469</v>
      </c>
      <c r="Z3" s="6">
        <v>1</v>
      </c>
      <c r="AA3" s="6" t="s">
        <v>1473</v>
      </c>
      <c r="AB3" s="6" t="s">
        <v>33</v>
      </c>
      <c r="AC3" s="6"/>
      <c r="AD3" s="6" t="s">
        <v>40</v>
      </c>
      <c r="AE3" s="6" t="s">
        <v>41</v>
      </c>
      <c r="AF3" s="6" t="s">
        <v>42</v>
      </c>
    </row>
    <row r="4" spans="1:32">
      <c r="A4" s="6" t="s">
        <v>43</v>
      </c>
      <c r="B4" s="6" t="s">
        <v>44</v>
      </c>
      <c r="C4" s="6">
        <v>1999</v>
      </c>
      <c r="D4" s="6" t="s">
        <v>45</v>
      </c>
      <c r="E4" s="6" t="str">
        <f>HYPERLINK("https://www1.nyc.gov/assets/planning/download/pdf/about/cpc/970554.pdf","Open PDF")</f>
        <v>Open PDF</v>
      </c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10"/>
      <c r="X4" s="6"/>
      <c r="Y4" s="6"/>
      <c r="Z4" s="6"/>
      <c r="AA4" s="6"/>
      <c r="AB4" s="6" t="s">
        <v>46</v>
      </c>
      <c r="AC4" s="6" t="s">
        <v>47</v>
      </c>
      <c r="AD4" s="6" t="s">
        <v>48</v>
      </c>
      <c r="AE4" s="6" t="s">
        <v>49</v>
      </c>
      <c r="AF4" s="6" t="s">
        <v>50</v>
      </c>
    </row>
    <row r="5" spans="1:32">
      <c r="A5" s="6" t="s">
        <v>51</v>
      </c>
      <c r="B5" s="6" t="s">
        <v>52</v>
      </c>
      <c r="C5" s="6">
        <v>1988</v>
      </c>
      <c r="D5" s="6" t="s">
        <v>53</v>
      </c>
      <c r="E5" s="6" t="str">
        <f>HYPERLINK("https://www1.nyc.gov/assets/planning/download/pdf/about/cpc/870568.pdf","Open PDF")</f>
        <v>Open PDF</v>
      </c>
      <c r="F5" s="6"/>
      <c r="G5" s="6"/>
      <c r="H5" s="7">
        <v>1</v>
      </c>
      <c r="I5" s="7"/>
      <c r="J5" s="7"/>
      <c r="K5" s="7"/>
      <c r="L5" s="7"/>
      <c r="M5" s="7"/>
      <c r="N5" s="7">
        <v>0</v>
      </c>
      <c r="O5" s="7">
        <v>0</v>
      </c>
      <c r="P5" s="7" t="s">
        <v>1468</v>
      </c>
      <c r="Q5" s="7" t="s">
        <v>1468</v>
      </c>
      <c r="R5" s="7"/>
      <c r="S5" s="7"/>
      <c r="T5" s="7"/>
      <c r="U5" s="7">
        <v>1</v>
      </c>
      <c r="V5" s="7">
        <v>1</v>
      </c>
      <c r="W5" s="10"/>
      <c r="X5" s="6"/>
      <c r="Y5" s="6"/>
      <c r="Z5" s="6"/>
      <c r="AA5" s="6"/>
      <c r="AB5" s="6" t="s">
        <v>46</v>
      </c>
      <c r="AC5" s="6" t="s">
        <v>54</v>
      </c>
      <c r="AD5" s="6" t="s">
        <v>55</v>
      </c>
      <c r="AE5" s="6" t="s">
        <v>49</v>
      </c>
      <c r="AF5" s="6" t="s">
        <v>56</v>
      </c>
    </row>
    <row r="6" spans="1:32">
      <c r="A6" s="6" t="s">
        <v>57</v>
      </c>
      <c r="B6" s="6" t="s">
        <v>58</v>
      </c>
      <c r="C6" s="6">
        <v>2007</v>
      </c>
      <c r="D6" s="6" t="s">
        <v>59</v>
      </c>
      <c r="E6" s="6" t="str">
        <f>HYPERLINK("https://www1.nyc.gov/assets/planning/download/pdf/about/cpc/060209.pdf","Open PDF")</f>
        <v>Open PDF</v>
      </c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0"/>
      <c r="X6" s="6"/>
      <c r="Y6" s="6"/>
      <c r="Z6" s="6"/>
      <c r="AA6" s="6"/>
      <c r="AB6" s="6" t="s">
        <v>33</v>
      </c>
      <c r="AC6" s="6"/>
      <c r="AD6" s="6" t="s">
        <v>60</v>
      </c>
      <c r="AE6" s="6" t="s">
        <v>61</v>
      </c>
      <c r="AF6" s="6" t="s">
        <v>62</v>
      </c>
    </row>
    <row r="7" spans="1:32">
      <c r="A7" s="6" t="s">
        <v>63</v>
      </c>
      <c r="B7" s="6" t="s">
        <v>64</v>
      </c>
      <c r="C7" s="6">
        <v>1977</v>
      </c>
      <c r="D7" s="6" t="s">
        <v>65</v>
      </c>
      <c r="E7" s="6" t="str">
        <f>HYPERLINK("https://www1.nyc.gov/assets/planning/download/pdf/about/cpc/760218.pdf","Open PDF")</f>
        <v>Open PDF</v>
      </c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0"/>
      <c r="X7" s="6"/>
      <c r="Y7" s="6"/>
      <c r="Z7" s="6"/>
      <c r="AA7" s="6"/>
      <c r="AB7" s="6" t="s">
        <v>33</v>
      </c>
      <c r="AC7" s="6"/>
      <c r="AD7" s="6" t="s">
        <v>66</v>
      </c>
      <c r="AE7" s="6" t="s">
        <v>67</v>
      </c>
      <c r="AF7" s="6" t="s">
        <v>68</v>
      </c>
    </row>
    <row r="8" spans="1:32">
      <c r="A8" s="6" t="s">
        <v>69</v>
      </c>
      <c r="B8" s="6" t="s">
        <v>70</v>
      </c>
      <c r="C8" s="6">
        <v>2011</v>
      </c>
      <c r="D8" s="6" t="s">
        <v>71</v>
      </c>
      <c r="E8" s="6" t="str">
        <f>HYPERLINK("https://www1.nyc.gov/assets/planning/download/pdf/about/cpc/110169.pdf","Open PDF")</f>
        <v>Open PDF</v>
      </c>
      <c r="F8" s="6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0"/>
      <c r="X8" s="6"/>
      <c r="Y8" s="6"/>
      <c r="Z8" s="6"/>
      <c r="AA8" s="6"/>
      <c r="AB8" s="6" t="s">
        <v>46</v>
      </c>
      <c r="AC8" s="6" t="s">
        <v>72</v>
      </c>
      <c r="AD8" s="6" t="s">
        <v>73</v>
      </c>
      <c r="AE8" s="6" t="s">
        <v>74</v>
      </c>
      <c r="AF8" s="6" t="s">
        <v>75</v>
      </c>
    </row>
    <row r="9" spans="1:32">
      <c r="A9" s="6" t="s">
        <v>76</v>
      </c>
      <c r="B9" s="6" t="s">
        <v>77</v>
      </c>
      <c r="C9" s="6">
        <v>2020</v>
      </c>
      <c r="D9" s="6" t="s">
        <v>78</v>
      </c>
      <c r="E9" s="6" t="str">
        <f>HYPERLINK("https://www1.nyc.gov/assets/planning/download/pdf/about/cpc/200088.pdf","Open PDF")</f>
        <v>Open PDF</v>
      </c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0"/>
      <c r="X9" s="6"/>
      <c r="Y9" s="6"/>
      <c r="Z9" s="6"/>
      <c r="AA9" s="6"/>
      <c r="AB9" s="6" t="s">
        <v>33</v>
      </c>
      <c r="AC9" s="6"/>
      <c r="AD9" s="6" t="s">
        <v>79</v>
      </c>
      <c r="AE9" s="6" t="s">
        <v>49</v>
      </c>
      <c r="AF9" s="6" t="s">
        <v>80</v>
      </c>
    </row>
    <row r="10" spans="1:32">
      <c r="A10" s="6" t="s">
        <v>81</v>
      </c>
      <c r="B10" s="6" t="s">
        <v>82</v>
      </c>
      <c r="C10" s="6">
        <v>2018</v>
      </c>
      <c r="D10" s="6" t="s">
        <v>83</v>
      </c>
      <c r="E10" s="6" t="str">
        <f>HYPERLINK("https://www1.nyc.gov/assets/planning/download/pdf/about/cpc/160331.pdf","Open PDF")</f>
        <v>Open PDF</v>
      </c>
      <c r="F10" s="6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0"/>
      <c r="X10" s="6"/>
      <c r="Y10" s="6"/>
      <c r="Z10" s="6"/>
      <c r="AA10" s="6"/>
      <c r="AB10" s="6" t="s">
        <v>33</v>
      </c>
      <c r="AC10" s="6"/>
      <c r="AD10" s="6" t="s">
        <v>84</v>
      </c>
      <c r="AE10" s="6" t="s">
        <v>61</v>
      </c>
      <c r="AF10" s="6" t="s">
        <v>85</v>
      </c>
    </row>
    <row r="11" spans="1:32">
      <c r="A11" s="6" t="s">
        <v>86</v>
      </c>
      <c r="B11" s="6" t="s">
        <v>87</v>
      </c>
      <c r="C11" s="6">
        <v>2014</v>
      </c>
      <c r="D11" s="6" t="s">
        <v>88</v>
      </c>
      <c r="E11" s="6" t="str">
        <f>HYPERLINK("https://www1.nyc.gov/assets/planning/download/pdf/about/cpc/010415.pdf","Open PDF")</f>
        <v>Open PDF</v>
      </c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0"/>
      <c r="X11" s="6"/>
      <c r="Y11" s="6"/>
      <c r="Z11" s="6"/>
      <c r="AA11" s="6"/>
      <c r="AB11" s="6" t="s">
        <v>33</v>
      </c>
      <c r="AC11" s="6"/>
      <c r="AD11" s="6" t="s">
        <v>89</v>
      </c>
      <c r="AE11" s="6" t="s">
        <v>67</v>
      </c>
      <c r="AF11" s="6" t="s">
        <v>90</v>
      </c>
    </row>
    <row r="12" spans="1:32">
      <c r="A12" s="6" t="s">
        <v>91</v>
      </c>
      <c r="B12" s="6" t="s">
        <v>92</v>
      </c>
      <c r="C12" s="6">
        <v>1991</v>
      </c>
      <c r="D12" s="6" t="s">
        <v>93</v>
      </c>
      <c r="E12" s="6" t="str">
        <f>HYPERLINK("https://www1.nyc.gov/assets/planning/download/pdf/about/cpc/910360.pdf","Open PDF")</f>
        <v>Open PDF</v>
      </c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0"/>
      <c r="X12" s="6"/>
      <c r="Y12" s="6"/>
      <c r="Z12" s="6"/>
      <c r="AA12" s="6"/>
      <c r="AB12" s="6" t="s">
        <v>33</v>
      </c>
      <c r="AC12" s="6"/>
      <c r="AD12" s="6" t="s">
        <v>94</v>
      </c>
      <c r="AE12" s="6" t="s">
        <v>49</v>
      </c>
      <c r="AF12" s="6" t="s">
        <v>95</v>
      </c>
    </row>
    <row r="13" spans="1:32">
      <c r="A13" s="6" t="s">
        <v>96</v>
      </c>
      <c r="B13" s="6" t="s">
        <v>97</v>
      </c>
      <c r="C13" s="6">
        <v>2007</v>
      </c>
      <c r="D13" s="6" t="s">
        <v>98</v>
      </c>
      <c r="E13" s="6" t="str">
        <f>HYPERLINK("https://www1.nyc.gov/assets/planning/download/pdf/about/cpc/060272.pdf","Open PDF")</f>
        <v>Open PDF</v>
      </c>
      <c r="F13" s="6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10"/>
      <c r="X13" s="6"/>
      <c r="Y13" s="6"/>
      <c r="Z13" s="6"/>
      <c r="AA13" s="6"/>
      <c r="AB13" s="6" t="s">
        <v>33</v>
      </c>
      <c r="AC13" s="6"/>
      <c r="AD13" s="6" t="s">
        <v>99</v>
      </c>
      <c r="AE13" s="6" t="s">
        <v>49</v>
      </c>
      <c r="AF13" s="6" t="s">
        <v>100</v>
      </c>
    </row>
    <row r="14" spans="1:32">
      <c r="A14" s="6" t="s">
        <v>101</v>
      </c>
      <c r="B14" s="6" t="s">
        <v>102</v>
      </c>
      <c r="C14" s="6">
        <v>1993</v>
      </c>
      <c r="D14" s="6" t="s">
        <v>103</v>
      </c>
      <c r="E14" s="6" t="str">
        <f>HYPERLINK("https://www1.nyc.gov/assets/planning/download/pdf/about/cpc/920262.pdf","Open PDF")</f>
        <v>Open PDF</v>
      </c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10"/>
      <c r="X14" s="6"/>
      <c r="Y14" s="6"/>
      <c r="Z14" s="6"/>
      <c r="AA14" s="6"/>
      <c r="AB14" s="6" t="s">
        <v>46</v>
      </c>
      <c r="AC14" s="6" t="s">
        <v>104</v>
      </c>
      <c r="AD14" s="6" t="s">
        <v>105</v>
      </c>
      <c r="AE14" s="6" t="s">
        <v>61</v>
      </c>
      <c r="AF14" s="6" t="s">
        <v>106</v>
      </c>
    </row>
    <row r="15" spans="1:32">
      <c r="A15" s="6" t="s">
        <v>107</v>
      </c>
      <c r="B15" s="6" t="s">
        <v>108</v>
      </c>
      <c r="C15" s="6">
        <v>1985</v>
      </c>
      <c r="D15" s="6" t="s">
        <v>109</v>
      </c>
      <c r="E15" s="6" t="str">
        <f>HYPERLINK("https://www1.nyc.gov/assets/planning/download/pdf/about/cpc/850111.pdf","Open PDF")</f>
        <v>Open PDF</v>
      </c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10"/>
      <c r="X15" s="6"/>
      <c r="Y15" s="6"/>
      <c r="Z15" s="6"/>
      <c r="AA15" s="6"/>
      <c r="AB15" s="6" t="s">
        <v>46</v>
      </c>
      <c r="AC15" s="6" t="s">
        <v>110</v>
      </c>
      <c r="AD15" s="6" t="s">
        <v>111</v>
      </c>
      <c r="AE15" s="6" t="s">
        <v>49</v>
      </c>
      <c r="AF15" s="6" t="s">
        <v>112</v>
      </c>
    </row>
    <row r="16" spans="1:32">
      <c r="A16" s="6" t="s">
        <v>113</v>
      </c>
      <c r="B16" s="6" t="s">
        <v>114</v>
      </c>
      <c r="C16" s="6">
        <v>1977</v>
      </c>
      <c r="D16" s="6" t="s">
        <v>115</v>
      </c>
      <c r="E16" s="6" t="str">
        <f>HYPERLINK("https://www1.nyc.gov/assets/planning/download/pdf/about/cpc/770118.pdf","Open PDF")</f>
        <v>Open PDF</v>
      </c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10"/>
      <c r="X16" s="6"/>
      <c r="Y16" s="6"/>
      <c r="Z16" s="6"/>
      <c r="AA16" s="6"/>
      <c r="AB16" s="6" t="s">
        <v>33</v>
      </c>
      <c r="AC16" s="6"/>
      <c r="AD16" s="6" t="s">
        <v>116</v>
      </c>
      <c r="AE16" s="6" t="s">
        <v>41</v>
      </c>
      <c r="AF16" s="6" t="s">
        <v>117</v>
      </c>
    </row>
    <row r="17" spans="1:32">
      <c r="A17" s="6" t="s">
        <v>118</v>
      </c>
      <c r="B17" s="6" t="s">
        <v>119</v>
      </c>
      <c r="C17" s="6">
        <v>1996</v>
      </c>
      <c r="D17" s="6" t="s">
        <v>120</v>
      </c>
      <c r="E17" s="6" t="str">
        <f>HYPERLINK("https://www1.nyc.gov/assets/planning/download/pdf/about/cpc/950526.pdf","Open PDF")</f>
        <v>Open PDF</v>
      </c>
      <c r="F17" s="6"/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10"/>
      <c r="X17" s="6"/>
      <c r="Y17" s="6"/>
      <c r="Z17" s="6"/>
      <c r="AA17" s="6"/>
      <c r="AB17" s="6" t="s">
        <v>33</v>
      </c>
      <c r="AC17" s="6"/>
      <c r="AD17" s="6" t="s">
        <v>121</v>
      </c>
      <c r="AE17" s="6" t="s">
        <v>49</v>
      </c>
      <c r="AF17" s="6" t="s">
        <v>122</v>
      </c>
    </row>
    <row r="18" spans="1:32">
      <c r="A18" s="6" t="s">
        <v>123</v>
      </c>
      <c r="B18" s="6" t="s">
        <v>124</v>
      </c>
      <c r="C18" s="6">
        <v>2020</v>
      </c>
      <c r="D18" s="6" t="s">
        <v>125</v>
      </c>
      <c r="E18" s="6" t="str">
        <f>HYPERLINK("https://www1.nyc.gov/assets/planning/download/pdf/about/cpc/190172.pdf","Open PDF")</f>
        <v>Open PDF</v>
      </c>
      <c r="F18" s="6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0"/>
      <c r="X18" s="6"/>
      <c r="Y18" s="6"/>
      <c r="Z18" s="6"/>
      <c r="AA18" s="6"/>
      <c r="AB18" s="6" t="s">
        <v>33</v>
      </c>
      <c r="AC18" s="6"/>
      <c r="AD18" s="6" t="s">
        <v>126</v>
      </c>
      <c r="AE18" s="6" t="s">
        <v>49</v>
      </c>
      <c r="AF18" s="6" t="s">
        <v>62</v>
      </c>
    </row>
    <row r="19" spans="1:32">
      <c r="A19" s="6" t="s">
        <v>127</v>
      </c>
      <c r="B19" s="6" t="s">
        <v>128</v>
      </c>
      <c r="C19" s="6">
        <v>1981</v>
      </c>
      <c r="D19" s="6" t="s">
        <v>129</v>
      </c>
      <c r="E19" s="6" t="str">
        <f>HYPERLINK("https://www1.nyc.gov/assets/planning/download/pdf/about/cpc/810220.pdf","Open PDF")</f>
        <v>Open PDF</v>
      </c>
      <c r="F19" s="6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10"/>
      <c r="X19" s="6"/>
      <c r="Y19" s="6"/>
      <c r="Z19" s="6"/>
      <c r="AA19" s="6"/>
      <c r="AB19" s="6" t="s">
        <v>33</v>
      </c>
      <c r="AC19" s="6"/>
      <c r="AD19" s="6" t="s">
        <v>130</v>
      </c>
      <c r="AE19" s="6" t="s">
        <v>35</v>
      </c>
      <c r="AF19" s="6" t="s">
        <v>131</v>
      </c>
    </row>
    <row r="20" spans="1:32">
      <c r="A20" s="6" t="s">
        <v>132</v>
      </c>
      <c r="B20" s="6" t="s">
        <v>133</v>
      </c>
      <c r="C20" s="6">
        <v>1977</v>
      </c>
      <c r="D20" s="6" t="s">
        <v>134</v>
      </c>
      <c r="E20" s="6" t="str">
        <f>HYPERLINK("https://www1.nyc.gov/assets/planning/download/pdf/about/cpc/770408.pdf","Open PDF")</f>
        <v>Open PDF</v>
      </c>
      <c r="F20" s="6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10"/>
      <c r="X20" s="6"/>
      <c r="Y20" s="6"/>
      <c r="Z20" s="6"/>
      <c r="AA20" s="6"/>
      <c r="AB20" s="6" t="s">
        <v>33</v>
      </c>
      <c r="AC20" s="6"/>
      <c r="AD20" s="6" t="s">
        <v>135</v>
      </c>
      <c r="AE20" s="6" t="s">
        <v>136</v>
      </c>
      <c r="AF20" s="6" t="s">
        <v>137</v>
      </c>
    </row>
    <row r="21" spans="1:32">
      <c r="A21" s="6" t="s">
        <v>138</v>
      </c>
      <c r="B21" s="6" t="s">
        <v>139</v>
      </c>
      <c r="C21" s="6">
        <v>1994</v>
      </c>
      <c r="D21" s="6" t="s">
        <v>140</v>
      </c>
      <c r="E21" s="6" t="str">
        <f>HYPERLINK("https://www1.nyc.gov/assets/planning/download/pdf/about/cpc/940072.pdf","Open PDF")</f>
        <v>Open PDF</v>
      </c>
      <c r="F21" s="6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10"/>
      <c r="X21" s="6"/>
      <c r="Y21" s="6"/>
      <c r="Z21" s="6"/>
      <c r="AA21" s="6"/>
      <c r="AB21" s="6" t="s">
        <v>33</v>
      </c>
      <c r="AC21" s="6"/>
      <c r="AD21" s="6" t="s">
        <v>141</v>
      </c>
      <c r="AE21" s="6" t="s">
        <v>142</v>
      </c>
      <c r="AF21" s="6" t="s">
        <v>62</v>
      </c>
    </row>
    <row r="22" spans="1:32">
      <c r="A22" s="6" t="s">
        <v>143</v>
      </c>
      <c r="B22" s="6" t="s">
        <v>144</v>
      </c>
      <c r="C22" s="6">
        <v>1980</v>
      </c>
      <c r="D22" s="6" t="s">
        <v>145</v>
      </c>
      <c r="E22" s="6" t="str">
        <f>HYPERLINK("https://www1.nyc.gov/assets/planning/download/pdf/about/cpc/800337.pdf","Open PDF")</f>
        <v>Open PDF</v>
      </c>
      <c r="F22" s="6"/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10"/>
      <c r="X22" s="6"/>
      <c r="Y22" s="6"/>
      <c r="Z22" s="6"/>
      <c r="AA22" s="6"/>
      <c r="AB22" s="6" t="s">
        <v>46</v>
      </c>
      <c r="AC22" s="6" t="s">
        <v>146</v>
      </c>
      <c r="AD22" s="6" t="s">
        <v>147</v>
      </c>
      <c r="AE22" s="6" t="s">
        <v>49</v>
      </c>
      <c r="AF22" s="6" t="s">
        <v>148</v>
      </c>
    </row>
    <row r="23" spans="1:32">
      <c r="A23" s="6" t="s">
        <v>149</v>
      </c>
      <c r="B23" s="6" t="s">
        <v>150</v>
      </c>
      <c r="C23" s="6">
        <v>1980</v>
      </c>
      <c r="D23" s="6" t="s">
        <v>151</v>
      </c>
      <c r="E23" s="6" t="str">
        <f>HYPERLINK("https://www1.nyc.gov/assets/planning/download/pdf/about/cpc/800492.pdf","Open PDF")</f>
        <v>Open PDF</v>
      </c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0"/>
      <c r="X23" s="6"/>
      <c r="Y23" s="6"/>
      <c r="Z23" s="6"/>
      <c r="AA23" s="6"/>
      <c r="AB23" s="6" t="s">
        <v>33</v>
      </c>
      <c r="AC23" s="6"/>
      <c r="AD23" s="6" t="s">
        <v>152</v>
      </c>
      <c r="AE23" s="6" t="s">
        <v>153</v>
      </c>
      <c r="AF23" s="6" t="s">
        <v>50</v>
      </c>
    </row>
    <row r="24" spans="1:32">
      <c r="A24" s="6" t="s">
        <v>154</v>
      </c>
      <c r="B24" s="6" t="s">
        <v>155</v>
      </c>
      <c r="C24" s="6">
        <v>1977</v>
      </c>
      <c r="D24" s="6" t="s">
        <v>156</v>
      </c>
      <c r="E24" s="6" t="str">
        <f>HYPERLINK("https://www1.nyc.gov/assets/planning/download/pdf/about/cpc/760059.pdf","Open PDF")</f>
        <v>Open PDF</v>
      </c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0"/>
      <c r="X24" s="6"/>
      <c r="Y24" s="6"/>
      <c r="Z24" s="6"/>
      <c r="AA24" s="6"/>
      <c r="AB24" s="6" t="s">
        <v>46</v>
      </c>
      <c r="AC24" s="6" t="s">
        <v>157</v>
      </c>
      <c r="AD24" s="6" t="s">
        <v>158</v>
      </c>
      <c r="AE24" s="6" t="s">
        <v>67</v>
      </c>
      <c r="AF24" s="6" t="s">
        <v>80</v>
      </c>
    </row>
    <row r="25" spans="1:32">
      <c r="A25" s="6" t="s">
        <v>159</v>
      </c>
      <c r="B25" s="6" t="s">
        <v>160</v>
      </c>
      <c r="C25" s="6">
        <v>2023</v>
      </c>
      <c r="D25" s="6" t="s">
        <v>161</v>
      </c>
      <c r="E25" s="6" t="str">
        <f>HYPERLINK("https://www1.nyc.gov/assets/planning/download/pdf/about/cpc/200013.pdf","Open PDF")</f>
        <v>Open PDF</v>
      </c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10"/>
      <c r="X25" s="6"/>
      <c r="Y25" s="6"/>
      <c r="Z25" s="6"/>
      <c r="AA25" s="6"/>
      <c r="AB25" s="6" t="s">
        <v>33</v>
      </c>
      <c r="AC25" s="6"/>
      <c r="AD25" s="6" t="s">
        <v>162</v>
      </c>
      <c r="AE25" s="6" t="s">
        <v>41</v>
      </c>
      <c r="AF25" s="6" t="s">
        <v>117</v>
      </c>
    </row>
    <row r="26" spans="1:32">
      <c r="A26" s="6" t="s">
        <v>163</v>
      </c>
      <c r="B26" s="6" t="s">
        <v>164</v>
      </c>
      <c r="C26" s="6">
        <v>1984</v>
      </c>
      <c r="D26" s="6" t="s">
        <v>165</v>
      </c>
      <c r="E26" s="6" t="str">
        <f>HYPERLINK("https://www1.nyc.gov/assets/planning/download/pdf/about/cpc/831300.pdf","Open PDF")</f>
        <v>Open PDF</v>
      </c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10"/>
      <c r="X26" s="6"/>
      <c r="Y26" s="6"/>
      <c r="Z26" s="6"/>
      <c r="AA26" s="6"/>
      <c r="AB26" s="6" t="s">
        <v>33</v>
      </c>
      <c r="AC26" s="6"/>
      <c r="AD26" s="6" t="s">
        <v>166</v>
      </c>
      <c r="AE26" s="6" t="s">
        <v>167</v>
      </c>
      <c r="AF26" s="6" t="s">
        <v>75</v>
      </c>
    </row>
    <row r="27" spans="1:32">
      <c r="A27" s="6" t="s">
        <v>168</v>
      </c>
      <c r="B27" s="6" t="s">
        <v>169</v>
      </c>
      <c r="C27" s="6">
        <v>1994</v>
      </c>
      <c r="D27" s="6" t="s">
        <v>170</v>
      </c>
      <c r="E27" s="6" t="str">
        <f>HYPERLINK("https://www1.nyc.gov/assets/planning/download/pdf/about/cpc/920231.pdf","Open PDF")</f>
        <v>Open PDF</v>
      </c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10"/>
      <c r="X27" s="6"/>
      <c r="Y27" s="6"/>
      <c r="Z27" s="6"/>
      <c r="AA27" s="6"/>
      <c r="AB27" s="6" t="s">
        <v>33</v>
      </c>
      <c r="AC27" s="6"/>
      <c r="AD27" s="6" t="s">
        <v>171</v>
      </c>
      <c r="AE27" s="6" t="s">
        <v>67</v>
      </c>
      <c r="AF27" s="6" t="s">
        <v>80</v>
      </c>
    </row>
    <row r="28" spans="1:32">
      <c r="A28" s="6" t="s">
        <v>172</v>
      </c>
      <c r="B28" s="6" t="s">
        <v>173</v>
      </c>
      <c r="C28" s="6">
        <v>2000</v>
      </c>
      <c r="D28" s="6" t="s">
        <v>174</v>
      </c>
      <c r="E28" s="6" t="str">
        <f>HYPERLINK("https://www1.nyc.gov/assets/planning/download/pdf/about/cpc/970367.pdf","Open PDF")</f>
        <v>Open PDF</v>
      </c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10"/>
      <c r="X28" s="6"/>
      <c r="Y28" s="6"/>
      <c r="Z28" s="6"/>
      <c r="AA28" s="6"/>
      <c r="AB28" s="6" t="s">
        <v>33</v>
      </c>
      <c r="AC28" s="6"/>
      <c r="AD28" s="6" t="s">
        <v>175</v>
      </c>
      <c r="AE28" s="6" t="s">
        <v>67</v>
      </c>
      <c r="AF28" s="6" t="s">
        <v>176</v>
      </c>
    </row>
    <row r="29" spans="1:32">
      <c r="A29" s="6" t="s">
        <v>177</v>
      </c>
      <c r="B29" s="6" t="s">
        <v>178</v>
      </c>
      <c r="C29" s="6">
        <v>2009</v>
      </c>
      <c r="D29" s="6" t="s">
        <v>179</v>
      </c>
      <c r="E29" s="6" t="str">
        <f>HYPERLINK("https://www1.nyc.gov/assets/planning/download/pdf/about/cpc/090318.pdf","Open PDF")</f>
        <v>Open PDF</v>
      </c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10"/>
      <c r="X29" s="6"/>
      <c r="Y29" s="6"/>
      <c r="Z29" s="6"/>
      <c r="AA29" s="6"/>
      <c r="AB29" s="6" t="s">
        <v>46</v>
      </c>
      <c r="AC29" s="6" t="s">
        <v>180</v>
      </c>
      <c r="AD29" s="6" t="s">
        <v>181</v>
      </c>
      <c r="AE29" s="6" t="s">
        <v>182</v>
      </c>
      <c r="AF29" s="6" t="s">
        <v>183</v>
      </c>
    </row>
    <row r="30" spans="1:32">
      <c r="A30" s="6" t="s">
        <v>184</v>
      </c>
      <c r="B30" s="6" t="s">
        <v>185</v>
      </c>
      <c r="C30" s="6">
        <v>1989</v>
      </c>
      <c r="D30" s="6" t="s">
        <v>186</v>
      </c>
      <c r="E30" s="6" t="str">
        <f>HYPERLINK("https://www1.nyc.gov/assets/planning/download/pdf/about/cpc/890206.pdf","Open PDF")</f>
        <v>Open PDF</v>
      </c>
      <c r="F30" s="6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10"/>
      <c r="X30" s="6"/>
      <c r="Y30" s="6"/>
      <c r="Z30" s="6"/>
      <c r="AA30" s="6"/>
      <c r="AB30" s="6" t="s">
        <v>33</v>
      </c>
      <c r="AC30" s="6"/>
      <c r="AD30" s="6" t="s">
        <v>187</v>
      </c>
      <c r="AE30" s="6" t="s">
        <v>188</v>
      </c>
      <c r="AF30" s="6" t="s">
        <v>189</v>
      </c>
    </row>
    <row r="31" spans="1:32">
      <c r="A31" s="6" t="s">
        <v>190</v>
      </c>
      <c r="B31" s="6" t="s">
        <v>191</v>
      </c>
      <c r="C31" s="6">
        <v>2001</v>
      </c>
      <c r="D31" s="6" t="s">
        <v>192</v>
      </c>
      <c r="E31" s="6" t="str">
        <f>HYPERLINK("https://www1.nyc.gov/assets/planning/download/pdf/about/cpc/020048.pdf","Open PDF")</f>
        <v>Open PDF</v>
      </c>
      <c r="F31" s="6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10"/>
      <c r="X31" s="6"/>
      <c r="Y31" s="6"/>
      <c r="Z31" s="6"/>
      <c r="AA31" s="6"/>
      <c r="AB31" s="6" t="s">
        <v>33</v>
      </c>
      <c r="AC31" s="6"/>
      <c r="AD31" s="6" t="s">
        <v>193</v>
      </c>
      <c r="AE31" s="6" t="s">
        <v>74</v>
      </c>
      <c r="AF31" s="6" t="s">
        <v>194</v>
      </c>
    </row>
    <row r="32" spans="1:32">
      <c r="A32" s="6" t="s">
        <v>195</v>
      </c>
      <c r="B32" s="6" t="s">
        <v>196</v>
      </c>
      <c r="C32" s="6">
        <v>1992</v>
      </c>
      <c r="D32" s="6" t="s">
        <v>197</v>
      </c>
      <c r="E32" s="6" t="str">
        <f>HYPERLINK("https://www1.nyc.gov/assets/planning/download/pdf/about/cpc/920157.pdf","Open PDF")</f>
        <v>Open PDF</v>
      </c>
      <c r="F32" s="6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10"/>
      <c r="X32" s="6"/>
      <c r="Y32" s="6"/>
      <c r="Z32" s="6"/>
      <c r="AA32" s="6"/>
      <c r="AB32" s="6" t="s">
        <v>46</v>
      </c>
      <c r="AC32" s="6" t="s">
        <v>198</v>
      </c>
      <c r="AD32" s="6" t="s">
        <v>199</v>
      </c>
      <c r="AE32" s="6" t="s">
        <v>142</v>
      </c>
      <c r="AF32" s="6" t="s">
        <v>200</v>
      </c>
    </row>
    <row r="33" spans="1:32">
      <c r="A33" s="6" t="s">
        <v>201</v>
      </c>
      <c r="B33" s="6" t="s">
        <v>202</v>
      </c>
      <c r="C33" s="6">
        <v>2000</v>
      </c>
      <c r="D33" s="6" t="s">
        <v>203</v>
      </c>
      <c r="E33" s="6" t="str">
        <f>HYPERLINK("https://www1.nyc.gov/assets/planning/download/pdf/about/cpc/000478.pdf","Open PDF")</f>
        <v>Open PDF</v>
      </c>
      <c r="F33" s="6"/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10"/>
      <c r="X33" s="6"/>
      <c r="Y33" s="6"/>
      <c r="Z33" s="6"/>
      <c r="AA33" s="6"/>
      <c r="AB33" s="6" t="s">
        <v>33</v>
      </c>
      <c r="AC33" s="6"/>
      <c r="AD33" s="6" t="s">
        <v>204</v>
      </c>
      <c r="AE33" s="6" t="s">
        <v>74</v>
      </c>
      <c r="AF33" s="6" t="s">
        <v>42</v>
      </c>
    </row>
    <row r="34" spans="1:32">
      <c r="A34" s="6" t="s">
        <v>205</v>
      </c>
      <c r="B34" s="6" t="s">
        <v>206</v>
      </c>
      <c r="C34" s="6">
        <v>1996</v>
      </c>
      <c r="D34" s="6" t="s">
        <v>207</v>
      </c>
      <c r="E34" s="6" t="str">
        <f>HYPERLINK("https://www1.nyc.gov/assets/planning/download/pdf/about/cpc/960282.pdf","Open PDF")</f>
        <v>Open PDF</v>
      </c>
      <c r="F34" s="6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0"/>
      <c r="X34" s="6"/>
      <c r="Y34" s="6"/>
      <c r="Z34" s="6"/>
      <c r="AA34" s="6"/>
      <c r="AB34" s="6" t="s">
        <v>46</v>
      </c>
      <c r="AC34" s="6" t="s">
        <v>208</v>
      </c>
      <c r="AD34" s="6" t="s">
        <v>209</v>
      </c>
      <c r="AE34" s="6" t="s">
        <v>74</v>
      </c>
      <c r="AF34" s="6" t="s">
        <v>210</v>
      </c>
    </row>
    <row r="35" spans="1:32">
      <c r="A35" s="6" t="s">
        <v>211</v>
      </c>
      <c r="B35" s="6" t="s">
        <v>212</v>
      </c>
      <c r="C35" s="6">
        <v>1986</v>
      </c>
      <c r="D35" s="6" t="s">
        <v>213</v>
      </c>
      <c r="E35" s="6" t="str">
        <f>HYPERLINK("https://www1.nyc.gov/assets/planning/download/pdf/about/cpc/860484.pdf","Open PDF")</f>
        <v>Open PDF</v>
      </c>
      <c r="F35" s="6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0"/>
      <c r="X35" s="6"/>
      <c r="Y35" s="6"/>
      <c r="Z35" s="6"/>
      <c r="AA35" s="6"/>
      <c r="AB35" s="6" t="s">
        <v>33</v>
      </c>
      <c r="AC35" s="6"/>
      <c r="AD35" s="6" t="s">
        <v>214</v>
      </c>
      <c r="AE35" s="6" t="s">
        <v>74</v>
      </c>
      <c r="AF35" s="6" t="s">
        <v>215</v>
      </c>
    </row>
    <row r="36" spans="1:32">
      <c r="A36" s="6" t="s">
        <v>216</v>
      </c>
      <c r="B36" s="6" t="s">
        <v>217</v>
      </c>
      <c r="C36" s="6">
        <v>1982</v>
      </c>
      <c r="D36" s="6" t="s">
        <v>218</v>
      </c>
      <c r="E36" s="6" t="str">
        <f>HYPERLINK("https://www1.nyc.gov/assets/planning/download/pdf/about/cpc/820444.pdf","Open PDF")</f>
        <v>Open PDF</v>
      </c>
      <c r="F36" s="6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0"/>
      <c r="X36" s="6"/>
      <c r="Y36" s="6"/>
      <c r="Z36" s="6"/>
      <c r="AA36" s="6"/>
      <c r="AB36" s="6" t="s">
        <v>33</v>
      </c>
      <c r="AC36" s="6"/>
      <c r="AD36" s="6" t="s">
        <v>219</v>
      </c>
      <c r="AE36" s="6" t="s">
        <v>35</v>
      </c>
      <c r="AF36" s="6" t="s">
        <v>112</v>
      </c>
    </row>
    <row r="37" spans="1:32">
      <c r="A37" s="6" t="s">
        <v>220</v>
      </c>
      <c r="B37" s="6" t="s">
        <v>221</v>
      </c>
      <c r="C37" s="6">
        <v>2025</v>
      </c>
      <c r="D37" s="6" t="s">
        <v>222</v>
      </c>
      <c r="E37" s="6" t="str">
        <f>HYPERLINK("https://www1.nyc.gov/assets/planning/download/pdf/about/cpc/230064.pdf","Open PDF")</f>
        <v>Open PDF</v>
      </c>
      <c r="F37" s="6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10"/>
      <c r="X37" s="6"/>
      <c r="Y37" s="6"/>
      <c r="Z37" s="6"/>
      <c r="AA37" s="6"/>
      <c r="AB37" s="6" t="s">
        <v>46</v>
      </c>
      <c r="AC37" s="6" t="s">
        <v>223</v>
      </c>
      <c r="AD37" s="6" t="s">
        <v>224</v>
      </c>
      <c r="AE37" s="6" t="s">
        <v>49</v>
      </c>
      <c r="AF37" s="6" t="s">
        <v>122</v>
      </c>
    </row>
    <row r="38" spans="1:32">
      <c r="A38" s="6" t="s">
        <v>225</v>
      </c>
      <c r="B38" s="6" t="s">
        <v>226</v>
      </c>
      <c r="C38" s="6">
        <v>2001</v>
      </c>
      <c r="D38" s="6" t="s">
        <v>227</v>
      </c>
      <c r="E38" s="6" t="str">
        <f>HYPERLINK("https://www1.nyc.gov/assets/planning/download/pdf/about/cpc/970578.pdf","Open PDF")</f>
        <v>Open PDF</v>
      </c>
      <c r="F38" s="6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10"/>
      <c r="X38" s="6"/>
      <c r="Y38" s="6"/>
      <c r="Z38" s="6"/>
      <c r="AA38" s="6"/>
      <c r="AB38" s="6" t="s">
        <v>46</v>
      </c>
      <c r="AC38" s="6" t="s">
        <v>228</v>
      </c>
      <c r="AD38" s="6" t="s">
        <v>229</v>
      </c>
      <c r="AE38" s="6" t="s">
        <v>49</v>
      </c>
      <c r="AF38" s="6" t="s">
        <v>230</v>
      </c>
    </row>
    <row r="39" spans="1:32">
      <c r="A39" s="6" t="s">
        <v>231</v>
      </c>
      <c r="B39" s="6" t="s">
        <v>232</v>
      </c>
      <c r="C39" s="6">
        <v>1979</v>
      </c>
      <c r="D39" s="6" t="s">
        <v>233</v>
      </c>
      <c r="E39" s="6" t="str">
        <f>HYPERLINK("https://www1.nyc.gov/assets/planning/download/pdf/about/cpc/790016.pdf","Open PDF")</f>
        <v>Open PDF</v>
      </c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10"/>
      <c r="X39" s="6"/>
      <c r="Y39" s="6"/>
      <c r="Z39" s="6"/>
      <c r="AA39" s="6"/>
      <c r="AB39" s="6" t="s">
        <v>33</v>
      </c>
      <c r="AC39" s="6"/>
      <c r="AD39" s="6" t="s">
        <v>234</v>
      </c>
      <c r="AE39" s="6" t="s">
        <v>35</v>
      </c>
      <c r="AF39" s="6" t="s">
        <v>131</v>
      </c>
    </row>
    <row r="40" spans="1:32">
      <c r="A40" s="6" t="s">
        <v>235</v>
      </c>
      <c r="B40" s="6" t="s">
        <v>236</v>
      </c>
      <c r="C40" s="6">
        <v>2017</v>
      </c>
      <c r="D40" s="6" t="s">
        <v>237</v>
      </c>
      <c r="E40" s="6" t="str">
        <f>HYPERLINK("https://www1.nyc.gov/assets/planning/download/pdf/about/cpc/160174.pdf","Open PDF")</f>
        <v>Open PDF</v>
      </c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10"/>
      <c r="X40" s="6"/>
      <c r="Y40" s="6"/>
      <c r="Z40" s="6"/>
      <c r="AA40" s="6"/>
      <c r="AB40" s="6" t="s">
        <v>33</v>
      </c>
      <c r="AC40" s="6"/>
      <c r="AD40" s="6" t="s">
        <v>238</v>
      </c>
      <c r="AE40" s="6" t="s">
        <v>41</v>
      </c>
      <c r="AF40" s="6" t="s">
        <v>239</v>
      </c>
    </row>
    <row r="41" spans="1:32">
      <c r="A41" s="6" t="s">
        <v>240</v>
      </c>
      <c r="B41" s="6" t="s">
        <v>241</v>
      </c>
      <c r="C41" s="6">
        <v>1994</v>
      </c>
      <c r="D41" s="6" t="s">
        <v>242</v>
      </c>
      <c r="E41" s="6" t="str">
        <f>HYPERLINK("https://www1.nyc.gov/assets/planning/download/pdf/about/cpc/910511.pdf","Open PDF")</f>
        <v>Open PDF</v>
      </c>
      <c r="F41" s="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10"/>
      <c r="X41" s="6"/>
      <c r="Y41" s="6"/>
      <c r="Z41" s="6"/>
      <c r="AA41" s="6"/>
      <c r="AB41" s="6" t="s">
        <v>46</v>
      </c>
      <c r="AC41" s="6" t="s">
        <v>243</v>
      </c>
      <c r="AD41" s="6" t="s">
        <v>244</v>
      </c>
      <c r="AE41" s="6" t="s">
        <v>61</v>
      </c>
      <c r="AF41" s="6" t="s">
        <v>85</v>
      </c>
    </row>
    <row r="42" spans="1:32">
      <c r="A42" s="6" t="s">
        <v>245</v>
      </c>
      <c r="B42" s="6" t="s">
        <v>246</v>
      </c>
      <c r="C42" s="6">
        <v>2011</v>
      </c>
      <c r="D42" s="6" t="s">
        <v>247</v>
      </c>
      <c r="E42" s="6" t="str">
        <f>HYPERLINK("https://www1.nyc.gov/assets/planning/download/pdf/about/cpc/110228.pdf","Open PDF")</f>
        <v>Open PDF</v>
      </c>
      <c r="F42" s="6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10"/>
      <c r="X42" s="6"/>
      <c r="Y42" s="6"/>
      <c r="Z42" s="6"/>
      <c r="AA42" s="6"/>
      <c r="AB42" s="6" t="s">
        <v>33</v>
      </c>
      <c r="AC42" s="6"/>
      <c r="AD42" s="6" t="s">
        <v>248</v>
      </c>
      <c r="AE42" s="6" t="s">
        <v>249</v>
      </c>
      <c r="AF42" s="6" t="s">
        <v>250</v>
      </c>
    </row>
    <row r="43" spans="1:32">
      <c r="A43" s="6" t="s">
        <v>251</v>
      </c>
      <c r="B43" s="6" t="s">
        <v>206</v>
      </c>
      <c r="C43" s="6">
        <v>1999</v>
      </c>
      <c r="D43" s="6" t="s">
        <v>252</v>
      </c>
      <c r="E43" s="6" t="str">
        <f>HYPERLINK("https://www1.nyc.gov/assets/planning/download/pdf/about/cpc/980368.pdf","Open PDF")</f>
        <v>Open PDF</v>
      </c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10"/>
      <c r="X43" s="6"/>
      <c r="Y43" s="6"/>
      <c r="Z43" s="6"/>
      <c r="AA43" s="6"/>
      <c r="AB43" s="6" t="s">
        <v>33</v>
      </c>
      <c r="AC43" s="6"/>
      <c r="AD43" s="6" t="s">
        <v>253</v>
      </c>
      <c r="AE43" s="6" t="s">
        <v>74</v>
      </c>
      <c r="AF43" s="6" t="s">
        <v>85</v>
      </c>
    </row>
    <row r="44" spans="1:32">
      <c r="A44" s="6" t="s">
        <v>254</v>
      </c>
      <c r="B44" s="6" t="s">
        <v>255</v>
      </c>
      <c r="C44" s="6">
        <v>2011</v>
      </c>
      <c r="D44" s="6" t="s">
        <v>256</v>
      </c>
      <c r="E44" s="6" t="str">
        <f>HYPERLINK("https://www1.nyc.gov/assets/planning/download/pdf/about/cpc/110334.pdf","Open PDF")</f>
        <v>Open PDF</v>
      </c>
      <c r="F44" s="6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10"/>
      <c r="X44" s="6"/>
      <c r="Y44" s="6"/>
      <c r="Z44" s="6"/>
      <c r="AA44" s="6"/>
      <c r="AB44" s="6" t="s">
        <v>33</v>
      </c>
      <c r="AC44" s="6"/>
      <c r="AD44" s="6" t="s">
        <v>257</v>
      </c>
      <c r="AE44" s="6" t="s">
        <v>41</v>
      </c>
      <c r="AF44" s="6" t="s">
        <v>258</v>
      </c>
    </row>
    <row r="45" spans="1:32">
      <c r="A45" s="6" t="s">
        <v>259</v>
      </c>
      <c r="B45" s="6" t="s">
        <v>260</v>
      </c>
      <c r="C45" s="6">
        <v>2015</v>
      </c>
      <c r="D45" s="6" t="s">
        <v>261</v>
      </c>
      <c r="E45" s="6" t="str">
        <f>HYPERLINK("https://www1.nyc.gov/assets/planning/download/pdf/about/cpc/150110.pdf","Open PDF")</f>
        <v>Open PDF</v>
      </c>
      <c r="F45" s="6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10"/>
      <c r="X45" s="6"/>
      <c r="Y45" s="6"/>
      <c r="Z45" s="6"/>
      <c r="AA45" s="6"/>
      <c r="AB45" s="6" t="s">
        <v>46</v>
      </c>
      <c r="AC45" s="6" t="s">
        <v>262</v>
      </c>
      <c r="AD45" s="6" t="s">
        <v>263</v>
      </c>
      <c r="AE45" s="6" t="s">
        <v>41</v>
      </c>
      <c r="AF45" s="6" t="s">
        <v>258</v>
      </c>
    </row>
    <row r="46" spans="1:32">
      <c r="A46" s="6" t="s">
        <v>264</v>
      </c>
      <c r="B46" s="6" t="s">
        <v>265</v>
      </c>
      <c r="C46" s="6">
        <v>2015</v>
      </c>
      <c r="D46" s="6" t="s">
        <v>266</v>
      </c>
      <c r="E46" s="6" t="str">
        <f>HYPERLINK("https://www1.nyc.gov/assets/planning/download/pdf/about/cpc/150059.pdf","Open PDF")</f>
        <v>Open PDF</v>
      </c>
      <c r="F46" s="6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10"/>
      <c r="X46" s="6"/>
      <c r="Y46" s="6"/>
      <c r="Z46" s="6"/>
      <c r="AA46" s="6"/>
      <c r="AB46" s="6" t="s">
        <v>33</v>
      </c>
      <c r="AC46" s="6"/>
      <c r="AD46" s="6" t="s">
        <v>267</v>
      </c>
      <c r="AE46" s="6" t="s">
        <v>41</v>
      </c>
      <c r="AF46" s="6" t="s">
        <v>131</v>
      </c>
    </row>
    <row r="47" spans="1:32">
      <c r="A47" s="6" t="s">
        <v>268</v>
      </c>
      <c r="B47" s="6" t="s">
        <v>269</v>
      </c>
      <c r="C47" s="6">
        <v>1978</v>
      </c>
      <c r="D47" s="6" t="s">
        <v>270</v>
      </c>
      <c r="E47" s="6" t="str">
        <f>HYPERLINK("https://www1.nyc.gov/assets/planning/download/pdf/about/cpc/780522.pdf","Open PDF")</f>
        <v>Open PDF</v>
      </c>
      <c r="F47" s="6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10"/>
      <c r="X47" s="6"/>
      <c r="Y47" s="6"/>
      <c r="Z47" s="6"/>
      <c r="AA47" s="6"/>
      <c r="AB47" s="6" t="s">
        <v>33</v>
      </c>
      <c r="AC47" s="6"/>
      <c r="AD47" s="6" t="s">
        <v>271</v>
      </c>
      <c r="AE47" s="6" t="s">
        <v>272</v>
      </c>
      <c r="AF47" s="6" t="s">
        <v>273</v>
      </c>
    </row>
    <row r="48" spans="1:32">
      <c r="A48" s="6" t="s">
        <v>274</v>
      </c>
      <c r="B48" s="6" t="s">
        <v>206</v>
      </c>
      <c r="C48" s="6">
        <v>1990</v>
      </c>
      <c r="D48" s="6" t="s">
        <v>275</v>
      </c>
      <c r="E48" s="6" t="str">
        <f>HYPERLINK("https://www1.nyc.gov/assets/planning/download/pdf/about/cpc/900031.pdf","Open PDF")</f>
        <v>Open PDF</v>
      </c>
      <c r="F48" s="6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10"/>
      <c r="X48" s="6"/>
      <c r="Y48" s="6"/>
      <c r="Z48" s="6"/>
      <c r="AA48" s="6"/>
      <c r="AB48" s="6" t="s">
        <v>33</v>
      </c>
      <c r="AC48" s="6"/>
      <c r="AD48" s="6" t="s">
        <v>276</v>
      </c>
      <c r="AE48" s="6" t="s">
        <v>74</v>
      </c>
      <c r="AF48" s="6" t="s">
        <v>42</v>
      </c>
    </row>
    <row r="49" spans="1:32">
      <c r="A49" s="6" t="s">
        <v>277</v>
      </c>
      <c r="B49" s="6" t="s">
        <v>278</v>
      </c>
      <c r="C49" s="6">
        <v>2022</v>
      </c>
      <c r="D49" s="6" t="s">
        <v>279</v>
      </c>
      <c r="E49" s="6" t="str">
        <f>HYPERLINK("https://www1.nyc.gov/assets/planning/download/pdf/about/cpc/210348.pdf","Open PDF")</f>
        <v>Open PDF</v>
      </c>
      <c r="F49" s="6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10"/>
      <c r="X49" s="6"/>
      <c r="Y49" s="6"/>
      <c r="Z49" s="6"/>
      <c r="AA49" s="6"/>
      <c r="AB49" s="6" t="s">
        <v>33</v>
      </c>
      <c r="AC49" s="6"/>
      <c r="AD49" s="6" t="s">
        <v>280</v>
      </c>
      <c r="AE49" s="6" t="s">
        <v>49</v>
      </c>
      <c r="AF49" s="6" t="s">
        <v>194</v>
      </c>
    </row>
    <row r="50" spans="1:32">
      <c r="A50" s="6" t="s">
        <v>281</v>
      </c>
      <c r="B50" s="6" t="s">
        <v>282</v>
      </c>
      <c r="C50" s="6">
        <v>2002</v>
      </c>
      <c r="D50" s="6" t="s">
        <v>283</v>
      </c>
      <c r="E50" s="6" t="str">
        <f>HYPERLINK("https://www1.nyc.gov/assets/planning/download/pdf/about/cpc/020612.pdf","Open PDF")</f>
        <v>Open PDF</v>
      </c>
      <c r="F50" s="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10"/>
      <c r="X50" s="6"/>
      <c r="Y50" s="6"/>
      <c r="Z50" s="6"/>
      <c r="AA50" s="6"/>
      <c r="AB50" s="6" t="s">
        <v>46</v>
      </c>
      <c r="AC50" s="6" t="s">
        <v>284</v>
      </c>
      <c r="AD50" s="6" t="s">
        <v>285</v>
      </c>
      <c r="AE50" s="6" t="s">
        <v>188</v>
      </c>
      <c r="AF50" s="6" t="s">
        <v>286</v>
      </c>
    </row>
    <row r="51" spans="1:32">
      <c r="A51" s="6" t="s">
        <v>287</v>
      </c>
      <c r="B51" s="6" t="s">
        <v>288</v>
      </c>
      <c r="C51" s="6">
        <v>2025</v>
      </c>
      <c r="D51" s="6" t="s">
        <v>289</v>
      </c>
      <c r="E51" s="6" t="str">
        <f>HYPERLINK("https://www1.nyc.gov/assets/planning/download/pdf/about/cpc/180070.pdf","Open PDF")</f>
        <v>Open PDF</v>
      </c>
      <c r="F51" s="6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10"/>
      <c r="X51" s="6"/>
      <c r="Y51" s="6"/>
      <c r="Z51" s="6"/>
      <c r="AA51" s="6"/>
      <c r="AB51" s="6" t="s">
        <v>46</v>
      </c>
      <c r="AC51" s="6" t="s">
        <v>290</v>
      </c>
      <c r="AD51" s="6" t="s">
        <v>291</v>
      </c>
      <c r="AE51" s="6" t="s">
        <v>67</v>
      </c>
      <c r="AF51" s="6" t="s">
        <v>292</v>
      </c>
    </row>
    <row r="52" spans="1:32">
      <c r="A52" s="6" t="s">
        <v>293</v>
      </c>
      <c r="B52" s="6" t="s">
        <v>294</v>
      </c>
      <c r="C52" s="6">
        <v>1978</v>
      </c>
      <c r="D52" s="6" t="s">
        <v>295</v>
      </c>
      <c r="E52" s="6" t="str">
        <f>HYPERLINK("https://www1.nyc.gov/assets/planning/download/pdf/about/cpc/770472.pdf","Open PDF")</f>
        <v>Open PDF</v>
      </c>
      <c r="F52" s="6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10"/>
      <c r="X52" s="6"/>
      <c r="Y52" s="6"/>
      <c r="Z52" s="6"/>
      <c r="AA52" s="6"/>
      <c r="AB52" s="6" t="s">
        <v>46</v>
      </c>
      <c r="AC52" s="6" t="s">
        <v>296</v>
      </c>
      <c r="AD52" s="6" t="s">
        <v>297</v>
      </c>
      <c r="AE52" s="6" t="s">
        <v>136</v>
      </c>
      <c r="AF52" s="6" t="s">
        <v>298</v>
      </c>
    </row>
    <row r="53" spans="1:32">
      <c r="A53" s="6" t="s">
        <v>299</v>
      </c>
      <c r="B53" s="6" t="s">
        <v>300</v>
      </c>
      <c r="C53" s="6">
        <v>2015</v>
      </c>
      <c r="D53" s="6" t="s">
        <v>301</v>
      </c>
      <c r="E53" s="6" t="str">
        <f>HYPERLINK("https://www1.nyc.gov/assets/planning/download/pdf/about/cpc/150447.pdf","Open PDF")</f>
        <v>Open PDF</v>
      </c>
      <c r="F53" s="6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10"/>
      <c r="X53" s="6"/>
      <c r="Y53" s="6"/>
      <c r="Z53" s="6"/>
      <c r="AA53" s="6"/>
      <c r="AB53" s="6" t="s">
        <v>46</v>
      </c>
      <c r="AC53" s="6" t="s">
        <v>302</v>
      </c>
      <c r="AD53" s="6" t="s">
        <v>303</v>
      </c>
      <c r="AE53" s="6" t="s">
        <v>41</v>
      </c>
      <c r="AF53" s="6" t="s">
        <v>239</v>
      </c>
    </row>
    <row r="54" spans="1:32">
      <c r="A54" s="6" t="s">
        <v>304</v>
      </c>
      <c r="B54" s="6" t="s">
        <v>305</v>
      </c>
      <c r="C54" s="6">
        <v>2010</v>
      </c>
      <c r="D54" s="6" t="s">
        <v>306</v>
      </c>
      <c r="E54" s="6" t="str">
        <f>HYPERLINK("https://www1.nyc.gov/assets/planning/download/pdf/about/cpc/100208.pdf","Open PDF")</f>
        <v>Open PDF</v>
      </c>
      <c r="F54" s="6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0"/>
      <c r="X54" s="6"/>
      <c r="Y54" s="6"/>
      <c r="Z54" s="6"/>
      <c r="AA54" s="6"/>
      <c r="AB54" s="6" t="s">
        <v>33</v>
      </c>
      <c r="AC54" s="6"/>
      <c r="AD54" s="6" t="s">
        <v>307</v>
      </c>
      <c r="AE54" s="6" t="s">
        <v>41</v>
      </c>
      <c r="AF54" s="6" t="s">
        <v>183</v>
      </c>
    </row>
    <row r="55" spans="1:32">
      <c r="A55" s="6" t="s">
        <v>308</v>
      </c>
      <c r="B55" s="6" t="s">
        <v>309</v>
      </c>
      <c r="C55" s="6">
        <v>2024</v>
      </c>
      <c r="D55" s="6" t="s">
        <v>310</v>
      </c>
      <c r="E55" s="6" t="str">
        <f>HYPERLINK("https://www1.nyc.gov/assets/planning/download/pdf/about/cpc/240244.pdf","Open PDF")</f>
        <v>Open PDF</v>
      </c>
      <c r="F55" s="6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10"/>
      <c r="X55" s="6"/>
      <c r="Y55" s="6"/>
      <c r="Z55" s="6"/>
      <c r="AA55" s="6"/>
      <c r="AB55" s="6" t="s">
        <v>33</v>
      </c>
      <c r="AC55" s="6"/>
      <c r="AD55" s="6" t="s">
        <v>311</v>
      </c>
      <c r="AE55" s="6" t="s">
        <v>41</v>
      </c>
      <c r="AF55" s="6" t="s">
        <v>258</v>
      </c>
    </row>
    <row r="56" spans="1:32">
      <c r="A56" s="6" t="s">
        <v>312</v>
      </c>
      <c r="B56" s="6" t="s">
        <v>313</v>
      </c>
      <c r="C56" s="6">
        <v>2009</v>
      </c>
      <c r="D56" s="6" t="s">
        <v>314</v>
      </c>
      <c r="E56" s="6" t="str">
        <f>HYPERLINK("https://www1.nyc.gov/assets/planning/download/pdf/about/cpc/090324.pdf","Open PDF")</f>
        <v>Open PDF</v>
      </c>
      <c r="F56" s="6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10"/>
      <c r="X56" s="6"/>
      <c r="Y56" s="6"/>
      <c r="Z56" s="6"/>
      <c r="AA56" s="6"/>
      <c r="AB56" s="6" t="s">
        <v>33</v>
      </c>
      <c r="AC56" s="6"/>
      <c r="AD56" s="6" t="s">
        <v>315</v>
      </c>
      <c r="AE56" s="6" t="s">
        <v>61</v>
      </c>
      <c r="AF56" s="6" t="s">
        <v>316</v>
      </c>
    </row>
    <row r="57" spans="1:32">
      <c r="A57" s="6" t="s">
        <v>317</v>
      </c>
      <c r="B57" s="6" t="s">
        <v>318</v>
      </c>
      <c r="C57" s="6">
        <v>1990</v>
      </c>
      <c r="D57" s="6" t="s">
        <v>319</v>
      </c>
      <c r="E57" s="6" t="str">
        <f>HYPERLINK("https://www1.nyc.gov/assets/planning/download/pdf/about/cpc/891083.pdf","Open PDF")</f>
        <v>Open PDF</v>
      </c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10"/>
      <c r="X57" s="6"/>
      <c r="Y57" s="6"/>
      <c r="Z57" s="6"/>
      <c r="AA57" s="6"/>
      <c r="AB57" s="6" t="s">
        <v>46</v>
      </c>
      <c r="AC57" s="6" t="s">
        <v>320</v>
      </c>
      <c r="AD57" s="6" t="s">
        <v>321</v>
      </c>
      <c r="AE57" s="6" t="s">
        <v>322</v>
      </c>
      <c r="AF57" s="6" t="s">
        <v>183</v>
      </c>
    </row>
    <row r="58" spans="1:32">
      <c r="A58" s="6" t="s">
        <v>323</v>
      </c>
      <c r="B58" s="6" t="s">
        <v>206</v>
      </c>
      <c r="C58" s="6">
        <v>1993</v>
      </c>
      <c r="D58" s="6" t="s">
        <v>324</v>
      </c>
      <c r="E58" s="6" t="str">
        <f>HYPERLINK("https://www1.nyc.gov/assets/planning/download/pdf/about/cpc/920315.pdf","Open PDF")</f>
        <v>Open PDF</v>
      </c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10"/>
      <c r="X58" s="6"/>
      <c r="Y58" s="6"/>
      <c r="Z58" s="6"/>
      <c r="AA58" s="6"/>
      <c r="AB58" s="6" t="s">
        <v>33</v>
      </c>
      <c r="AC58" s="6"/>
      <c r="AD58" s="6" t="s">
        <v>325</v>
      </c>
      <c r="AE58" s="6" t="s">
        <v>74</v>
      </c>
      <c r="AF58" s="6" t="s">
        <v>95</v>
      </c>
    </row>
    <row r="59" spans="1:32">
      <c r="A59" s="6" t="s">
        <v>326</v>
      </c>
      <c r="B59" s="6" t="s">
        <v>327</v>
      </c>
      <c r="C59" s="6">
        <v>1983</v>
      </c>
      <c r="D59" s="6" t="s">
        <v>328</v>
      </c>
      <c r="E59" s="6" t="str">
        <f>HYPERLINK("https://www1.nyc.gov/assets/planning/download/pdf/about/cpc/840161.pdf","Open PDF")</f>
        <v>Open PDF</v>
      </c>
      <c r="F59" s="6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10"/>
      <c r="X59" s="6"/>
      <c r="Y59" s="6"/>
      <c r="Z59" s="6"/>
      <c r="AA59" s="6"/>
      <c r="AB59" s="6" t="s">
        <v>33</v>
      </c>
      <c r="AC59" s="6"/>
      <c r="AD59" s="6" t="s">
        <v>329</v>
      </c>
      <c r="AE59" s="6" t="s">
        <v>74</v>
      </c>
      <c r="AF59" s="6" t="s">
        <v>42</v>
      </c>
    </row>
    <row r="60" spans="1:32">
      <c r="A60" s="6" t="s">
        <v>330</v>
      </c>
      <c r="B60" s="6" t="s">
        <v>331</v>
      </c>
      <c r="C60" s="6">
        <v>1990</v>
      </c>
      <c r="D60" s="6" t="s">
        <v>332</v>
      </c>
      <c r="E60" s="6" t="str">
        <f>HYPERLINK("https://www1.nyc.gov/assets/planning/download/pdf/about/cpc/900685.pdf","Open PDF")</f>
        <v>Open PDF</v>
      </c>
      <c r="F60" s="6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10"/>
      <c r="X60" s="6"/>
      <c r="Y60" s="6"/>
      <c r="Z60" s="6"/>
      <c r="AA60" s="6"/>
      <c r="AB60" s="6" t="s">
        <v>33</v>
      </c>
      <c r="AC60" s="6"/>
      <c r="AD60" s="6" t="s">
        <v>333</v>
      </c>
      <c r="AE60" s="6" t="s">
        <v>61</v>
      </c>
      <c r="AF60" s="6" t="s">
        <v>334</v>
      </c>
    </row>
    <row r="61" spans="1:32">
      <c r="A61" s="6" t="s">
        <v>335</v>
      </c>
      <c r="B61" s="6" t="s">
        <v>336</v>
      </c>
      <c r="C61" s="6">
        <v>2002</v>
      </c>
      <c r="D61" s="6" t="s">
        <v>337</v>
      </c>
      <c r="E61" s="6" t="str">
        <f>HYPERLINK("https://www1.nyc.gov/assets/planning/download/pdf/about/cpc/020189.pdf","Open PDF")</f>
        <v>Open PDF</v>
      </c>
      <c r="F61" s="6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10"/>
      <c r="X61" s="6"/>
      <c r="Y61" s="6"/>
      <c r="Z61" s="6"/>
      <c r="AA61" s="6"/>
      <c r="AB61" s="6" t="s">
        <v>33</v>
      </c>
      <c r="AC61" s="6"/>
      <c r="AD61" s="6" t="s">
        <v>338</v>
      </c>
      <c r="AE61" s="6" t="s">
        <v>41</v>
      </c>
      <c r="AF61" s="6" t="s">
        <v>112</v>
      </c>
    </row>
    <row r="62" spans="1:32">
      <c r="A62" s="6" t="s">
        <v>339</v>
      </c>
      <c r="B62" s="6" t="s">
        <v>340</v>
      </c>
      <c r="C62" s="6">
        <v>2013</v>
      </c>
      <c r="D62" s="6" t="s">
        <v>341</v>
      </c>
      <c r="E62" s="6" t="str">
        <f>HYPERLINK("https://www1.nyc.gov/assets/planning/download/pdf/about/cpc/110102.pdf","Open PDF")</f>
        <v>Open PDF</v>
      </c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0"/>
      <c r="X62" s="6"/>
      <c r="Y62" s="6"/>
      <c r="Z62" s="6"/>
      <c r="AA62" s="6"/>
      <c r="AB62" s="6" t="s">
        <v>33</v>
      </c>
      <c r="AC62" s="6"/>
      <c r="AD62" s="6" t="s">
        <v>342</v>
      </c>
      <c r="AE62" s="6" t="s">
        <v>41</v>
      </c>
      <c r="AF62" s="6" t="s">
        <v>343</v>
      </c>
    </row>
    <row r="63" spans="1:32">
      <c r="A63" s="6" t="s">
        <v>344</v>
      </c>
      <c r="B63" s="6" t="s">
        <v>345</v>
      </c>
      <c r="C63" s="6">
        <v>2021</v>
      </c>
      <c r="D63" s="6" t="s">
        <v>346</v>
      </c>
      <c r="E63" s="6" t="str">
        <f>HYPERLINK("https://www1.nyc.gov/assets/planning/download/pdf/about/cpc/210173.pdf","Open PDF")</f>
        <v>Open PDF</v>
      </c>
      <c r="F63" s="6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10"/>
      <c r="X63" s="6"/>
      <c r="Y63" s="6"/>
      <c r="Z63" s="6"/>
      <c r="AA63" s="6"/>
      <c r="AB63" s="6" t="s">
        <v>46</v>
      </c>
      <c r="AC63" s="6" t="s">
        <v>347</v>
      </c>
      <c r="AD63" s="6" t="s">
        <v>348</v>
      </c>
      <c r="AE63" s="6" t="s">
        <v>188</v>
      </c>
      <c r="AF63" s="6" t="s">
        <v>122</v>
      </c>
    </row>
    <row r="64" spans="1:32">
      <c r="A64" s="6" t="s">
        <v>349</v>
      </c>
      <c r="B64" s="6" t="s">
        <v>350</v>
      </c>
      <c r="C64" s="6">
        <v>2018</v>
      </c>
      <c r="D64" s="6" t="s">
        <v>351</v>
      </c>
      <c r="E64" s="6" t="str">
        <f>HYPERLINK("https://www1.nyc.gov/assets/planning/download/pdf/about/cpc/160161.pdf","Open PDF")</f>
        <v>Open PDF</v>
      </c>
      <c r="F64" s="6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10"/>
      <c r="X64" s="6"/>
      <c r="Y64" s="6"/>
      <c r="Z64" s="6"/>
      <c r="AA64" s="6"/>
      <c r="AB64" s="6" t="s">
        <v>33</v>
      </c>
      <c r="AC64" s="6"/>
      <c r="AD64" s="6" t="s">
        <v>352</v>
      </c>
      <c r="AE64" s="6" t="s">
        <v>61</v>
      </c>
      <c r="AF64" s="6" t="s">
        <v>137</v>
      </c>
    </row>
    <row r="65" spans="1:32">
      <c r="A65" s="6" t="s">
        <v>353</v>
      </c>
      <c r="B65" s="6" t="s">
        <v>354</v>
      </c>
      <c r="C65" s="6">
        <v>2015</v>
      </c>
      <c r="D65" s="6" t="s">
        <v>355</v>
      </c>
      <c r="E65" s="6" t="str">
        <f>HYPERLINK("https://www1.nyc.gov/assets/planning/download/pdf/about/cpc/120403.pdf","Open PDF")</f>
        <v>Open PDF</v>
      </c>
      <c r="F65" s="6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10"/>
      <c r="X65" s="6"/>
      <c r="Y65" s="6"/>
      <c r="Z65" s="6"/>
      <c r="AA65" s="6"/>
      <c r="AB65" s="6" t="s">
        <v>33</v>
      </c>
      <c r="AC65" s="6"/>
      <c r="AD65" s="6" t="s">
        <v>356</v>
      </c>
      <c r="AE65" s="6" t="s">
        <v>49</v>
      </c>
      <c r="AF65" s="6" t="s">
        <v>183</v>
      </c>
    </row>
    <row r="66" spans="1:32">
      <c r="A66" s="6" t="s">
        <v>357</v>
      </c>
      <c r="B66" s="6" t="s">
        <v>358</v>
      </c>
      <c r="C66" s="6">
        <v>2023</v>
      </c>
      <c r="D66" s="6" t="s">
        <v>359</v>
      </c>
      <c r="E66" s="6" t="str">
        <f>HYPERLINK("https://www1.nyc.gov/assets/planning/download/pdf/about/cpc/230117.pdf","Open PDF")</f>
        <v>Open PDF</v>
      </c>
      <c r="F66" s="6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10"/>
      <c r="X66" s="6"/>
      <c r="Y66" s="6"/>
      <c r="Z66" s="6"/>
      <c r="AA66" s="6"/>
      <c r="AB66" s="6" t="s">
        <v>33</v>
      </c>
      <c r="AC66" s="6"/>
      <c r="AD66" s="6" t="s">
        <v>360</v>
      </c>
      <c r="AE66" s="6" t="s">
        <v>49</v>
      </c>
      <c r="AF66" s="6" t="s">
        <v>361</v>
      </c>
    </row>
    <row r="67" spans="1:32">
      <c r="A67" s="6" t="s">
        <v>362</v>
      </c>
      <c r="B67" s="6" t="s">
        <v>363</v>
      </c>
      <c r="C67" s="6">
        <v>1997</v>
      </c>
      <c r="D67" s="6" t="s">
        <v>364</v>
      </c>
      <c r="E67" s="6" t="str">
        <f>HYPERLINK("https://www1.nyc.gov/assets/planning/download/pdf/about/cpc/970324.pdf","Open PDF")</f>
        <v>Open PDF</v>
      </c>
      <c r="F67" s="6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10"/>
      <c r="X67" s="6"/>
      <c r="Y67" s="6"/>
      <c r="Z67" s="6"/>
      <c r="AA67" s="6"/>
      <c r="AB67" s="6" t="s">
        <v>33</v>
      </c>
      <c r="AC67" s="6"/>
      <c r="AD67" s="6" t="s">
        <v>365</v>
      </c>
      <c r="AE67" s="6" t="s">
        <v>366</v>
      </c>
      <c r="AF67" s="6" t="s">
        <v>367</v>
      </c>
    </row>
    <row r="68" spans="1:32">
      <c r="A68" s="6" t="s">
        <v>368</v>
      </c>
      <c r="B68" s="6" t="s">
        <v>369</v>
      </c>
      <c r="C68" s="6">
        <v>1986</v>
      </c>
      <c r="D68" s="6" t="s">
        <v>370</v>
      </c>
      <c r="E68" s="6" t="str">
        <f>HYPERLINK("https://www1.nyc.gov/assets/planning/download/pdf/about/cpc/870131.pdf","Open PDF")</f>
        <v>Open PDF</v>
      </c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10"/>
      <c r="X68" s="6"/>
      <c r="Y68" s="6"/>
      <c r="Z68" s="6"/>
      <c r="AA68" s="6"/>
      <c r="AB68" s="6" t="s">
        <v>33</v>
      </c>
      <c r="AC68" s="6"/>
      <c r="AD68" s="6" t="s">
        <v>371</v>
      </c>
      <c r="AE68" s="6" t="s">
        <v>74</v>
      </c>
      <c r="AF68" s="6" t="s">
        <v>372</v>
      </c>
    </row>
    <row r="69" spans="1:32">
      <c r="A69" s="6" t="s">
        <v>373</v>
      </c>
      <c r="B69" s="6" t="s">
        <v>374</v>
      </c>
      <c r="C69" s="6">
        <v>2021</v>
      </c>
      <c r="D69" s="6" t="s">
        <v>375</v>
      </c>
      <c r="E69" s="6" t="str">
        <f>HYPERLINK("https://www1.nyc.gov/assets/planning/download/pdf/about/cpc/200277.pdf","Open PDF")</f>
        <v>Open PDF</v>
      </c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10"/>
      <c r="X69" s="6"/>
      <c r="Y69" s="6"/>
      <c r="Z69" s="6"/>
      <c r="AA69" s="6"/>
      <c r="AB69" s="6" t="s">
        <v>33</v>
      </c>
      <c r="AC69" s="6"/>
      <c r="AD69" s="6" t="s">
        <v>376</v>
      </c>
      <c r="AE69" s="6" t="s">
        <v>188</v>
      </c>
      <c r="AF69" s="6" t="s">
        <v>286</v>
      </c>
    </row>
    <row r="70" spans="1:32">
      <c r="A70" s="6" t="s">
        <v>377</v>
      </c>
      <c r="B70" s="6" t="s">
        <v>378</v>
      </c>
      <c r="C70" s="6">
        <v>2023</v>
      </c>
      <c r="D70" s="6" t="s">
        <v>379</v>
      </c>
      <c r="E70" s="6" t="str">
        <f>HYPERLINK("https://www1.nyc.gov/assets/planning/download/pdf/about/cpc/140316.pdf","Open PDF")</f>
        <v>Open PDF</v>
      </c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10"/>
      <c r="X70" s="6"/>
      <c r="Y70" s="6"/>
      <c r="Z70" s="6"/>
      <c r="AA70" s="6"/>
      <c r="AB70" s="6" t="s">
        <v>46</v>
      </c>
      <c r="AC70" s="6" t="s">
        <v>380</v>
      </c>
      <c r="AD70" s="6" t="s">
        <v>381</v>
      </c>
      <c r="AE70" s="6" t="s">
        <v>41</v>
      </c>
      <c r="AF70" s="6" t="s">
        <v>50</v>
      </c>
    </row>
    <row r="71" spans="1:32">
      <c r="A71" s="6" t="s">
        <v>382</v>
      </c>
      <c r="B71" s="6" t="s">
        <v>383</v>
      </c>
      <c r="C71" s="6">
        <v>1999</v>
      </c>
      <c r="D71" s="6" t="s">
        <v>384</v>
      </c>
      <c r="E71" s="6" t="str">
        <f>HYPERLINK("https://www1.nyc.gov/assets/planning/download/pdf/about/cpc/960203.pdf","Open PDF")</f>
        <v>Open PDF</v>
      </c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10"/>
      <c r="X71" s="6"/>
      <c r="Y71" s="6"/>
      <c r="Z71" s="6"/>
      <c r="AA71" s="6"/>
      <c r="AB71" s="6" t="s">
        <v>33</v>
      </c>
      <c r="AC71" s="6"/>
      <c r="AD71" s="6" t="s">
        <v>385</v>
      </c>
      <c r="AE71" s="6" t="s">
        <v>49</v>
      </c>
      <c r="AF71" s="6" t="s">
        <v>273</v>
      </c>
    </row>
    <row r="72" spans="1:32">
      <c r="A72" s="6" t="s">
        <v>386</v>
      </c>
      <c r="B72" s="6" t="s">
        <v>387</v>
      </c>
      <c r="C72" s="6">
        <v>1998</v>
      </c>
      <c r="D72" s="6" t="s">
        <v>388</v>
      </c>
      <c r="E72" s="6" t="str">
        <f>HYPERLINK("https://www1.nyc.gov/assets/planning/download/pdf/about/cpc/980703.pdf","Open PDF")</f>
        <v>Open PDF</v>
      </c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10"/>
      <c r="X72" s="6"/>
      <c r="Y72" s="6"/>
      <c r="Z72" s="6"/>
      <c r="AA72" s="6"/>
      <c r="AB72" s="6" t="s">
        <v>33</v>
      </c>
      <c r="AC72" s="6"/>
      <c r="AD72" s="6" t="s">
        <v>389</v>
      </c>
      <c r="AE72" s="6" t="s">
        <v>74</v>
      </c>
      <c r="AF72" s="6" t="s">
        <v>176</v>
      </c>
    </row>
    <row r="73" spans="1:32">
      <c r="A73" s="6" t="s">
        <v>390</v>
      </c>
      <c r="B73" s="6" t="s">
        <v>391</v>
      </c>
      <c r="C73" s="6">
        <v>1991</v>
      </c>
      <c r="D73" s="6" t="s">
        <v>392</v>
      </c>
      <c r="E73" s="6" t="str">
        <f>HYPERLINK("https://www1.nyc.gov/assets/planning/download/pdf/about/cpc/900172.pdf","Open PDF")</f>
        <v>Open PDF</v>
      </c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10"/>
      <c r="X73" s="6"/>
      <c r="Y73" s="6"/>
      <c r="Z73" s="6"/>
      <c r="AA73" s="6"/>
      <c r="AB73" s="6" t="s">
        <v>46</v>
      </c>
      <c r="AC73" s="6" t="s">
        <v>393</v>
      </c>
      <c r="AD73" s="6" t="s">
        <v>394</v>
      </c>
      <c r="AE73" s="6" t="s">
        <v>49</v>
      </c>
      <c r="AF73" s="6" t="s">
        <v>395</v>
      </c>
    </row>
    <row r="74" spans="1:32">
      <c r="A74" s="6" t="s">
        <v>396</v>
      </c>
      <c r="B74" s="6" t="s">
        <v>397</v>
      </c>
      <c r="C74" s="6">
        <v>1996</v>
      </c>
      <c r="D74" s="6" t="s">
        <v>398</v>
      </c>
      <c r="E74" s="6" t="str">
        <f>HYPERLINK("https://www1.nyc.gov/assets/planning/download/pdf/about/cpc/960270.pdf","Open PDF")</f>
        <v>Open PDF</v>
      </c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10"/>
      <c r="X74" s="6"/>
      <c r="Y74" s="6"/>
      <c r="Z74" s="6"/>
      <c r="AA74" s="6"/>
      <c r="AB74" s="6" t="s">
        <v>33</v>
      </c>
      <c r="AC74" s="6"/>
      <c r="AD74" s="6" t="s">
        <v>399</v>
      </c>
      <c r="AE74" s="6" t="s">
        <v>400</v>
      </c>
      <c r="AF74" s="6" t="s">
        <v>183</v>
      </c>
    </row>
    <row r="75" spans="1:32">
      <c r="A75" s="6" t="s">
        <v>401</v>
      </c>
      <c r="B75" s="6" t="s">
        <v>402</v>
      </c>
      <c r="C75" s="6">
        <v>2025</v>
      </c>
      <c r="D75" s="6" t="s">
        <v>403</v>
      </c>
      <c r="E75" s="6" t="str">
        <f>HYPERLINK("https://www1.nyc.gov/assets/planning/download/pdf/about/cpc/250046.pdf","Open PDF")</f>
        <v>Open PDF</v>
      </c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10"/>
      <c r="X75" s="6"/>
      <c r="Y75" s="6"/>
      <c r="Z75" s="6"/>
      <c r="AA75" s="6"/>
      <c r="AB75" s="6" t="s">
        <v>33</v>
      </c>
      <c r="AC75" s="6"/>
      <c r="AD75" s="6" t="s">
        <v>404</v>
      </c>
      <c r="AE75" s="6" t="s">
        <v>49</v>
      </c>
      <c r="AF75" s="6" t="s">
        <v>405</v>
      </c>
    </row>
    <row r="76" spans="1:32">
      <c r="A76" s="6" t="s">
        <v>406</v>
      </c>
      <c r="B76" s="6" t="s">
        <v>407</v>
      </c>
      <c r="C76" s="6">
        <v>1980</v>
      </c>
      <c r="D76" s="6" t="s">
        <v>408</v>
      </c>
      <c r="E76" s="6" t="str">
        <f>HYPERLINK("https://www1.nyc.gov/assets/planning/download/pdf/about/cpc/790789.pdf","Open PDF")</f>
        <v>Open PDF</v>
      </c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10"/>
      <c r="X76" s="6"/>
      <c r="Y76" s="6"/>
      <c r="Z76" s="6"/>
      <c r="AA76" s="6"/>
      <c r="AB76" s="6" t="s">
        <v>46</v>
      </c>
      <c r="AC76" s="6" t="s">
        <v>409</v>
      </c>
      <c r="AD76" s="6" t="s">
        <v>410</v>
      </c>
      <c r="AE76" s="6" t="s">
        <v>67</v>
      </c>
      <c r="AF76" s="6" t="s">
        <v>411</v>
      </c>
    </row>
    <row r="77" spans="1:32">
      <c r="A77" s="6" t="s">
        <v>412</v>
      </c>
      <c r="B77" s="6" t="s">
        <v>413</v>
      </c>
      <c r="C77" s="6">
        <v>2007</v>
      </c>
      <c r="D77" s="6" t="s">
        <v>414</v>
      </c>
      <c r="E77" s="6" t="str">
        <f>HYPERLINK("https://www1.nyc.gov/assets/planning/download/pdf/about/cpc/070065.pdf","Open PDF")</f>
        <v>Open PDF</v>
      </c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10"/>
      <c r="X77" s="6"/>
      <c r="Y77" s="6"/>
      <c r="Z77" s="6"/>
      <c r="AA77" s="6"/>
      <c r="AB77" s="6" t="s">
        <v>33</v>
      </c>
      <c r="AC77" s="6"/>
      <c r="AD77" s="6" t="s">
        <v>415</v>
      </c>
      <c r="AE77" s="6" t="s">
        <v>49</v>
      </c>
      <c r="AF77" s="6" t="s">
        <v>416</v>
      </c>
    </row>
    <row r="78" spans="1:32">
      <c r="A78" s="6" t="s">
        <v>417</v>
      </c>
      <c r="B78" s="6" t="s">
        <v>418</v>
      </c>
      <c r="C78" s="6">
        <v>1984</v>
      </c>
      <c r="D78" s="6" t="s">
        <v>419</v>
      </c>
      <c r="E78" s="6" t="str">
        <f>HYPERLINK("https://www1.nyc.gov/assets/planning/download/pdf/about/cpc/840424.pdf","Open PDF")</f>
        <v>Open PDF</v>
      </c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10"/>
      <c r="X78" s="6"/>
      <c r="Y78" s="6"/>
      <c r="Z78" s="6"/>
      <c r="AA78" s="6"/>
      <c r="AB78" s="6" t="s">
        <v>46</v>
      </c>
      <c r="AC78" s="6" t="s">
        <v>420</v>
      </c>
      <c r="AD78" s="6" t="s">
        <v>421</v>
      </c>
      <c r="AE78" s="6" t="s">
        <v>422</v>
      </c>
      <c r="AF78" s="6" t="s">
        <v>423</v>
      </c>
    </row>
    <row r="79" spans="1:32">
      <c r="A79" s="6" t="s">
        <v>424</v>
      </c>
      <c r="B79" s="6" t="s">
        <v>425</v>
      </c>
      <c r="C79" s="6">
        <v>2002</v>
      </c>
      <c r="D79" s="6" t="s">
        <v>426</v>
      </c>
      <c r="E79" s="6" t="str">
        <f>HYPERLINK("https://www1.nyc.gov/assets/planning/download/pdf/about/cpc/030031.pdf","Open PDF")</f>
        <v>Open PDF</v>
      </c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10"/>
      <c r="X79" s="6"/>
      <c r="Y79" s="6"/>
      <c r="Z79" s="6"/>
      <c r="AA79" s="6"/>
      <c r="AB79" s="6" t="s">
        <v>33</v>
      </c>
      <c r="AC79" s="6"/>
      <c r="AD79" s="6" t="s">
        <v>427</v>
      </c>
      <c r="AE79" s="6" t="s">
        <v>41</v>
      </c>
      <c r="AF79" s="6" t="s">
        <v>258</v>
      </c>
    </row>
    <row r="80" spans="1:32">
      <c r="A80" s="6" t="s">
        <v>428</v>
      </c>
      <c r="B80" s="6" t="s">
        <v>429</v>
      </c>
      <c r="C80" s="6">
        <v>2008</v>
      </c>
      <c r="D80" s="6" t="s">
        <v>430</v>
      </c>
      <c r="E80" s="6" t="str">
        <f>HYPERLINK("https://www1.nyc.gov/assets/planning/download/pdf/about/cpc/080425.pdf","Open PDF")</f>
        <v>Open PDF</v>
      </c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10"/>
      <c r="X80" s="6"/>
      <c r="Y80" s="6"/>
      <c r="Z80" s="6"/>
      <c r="AA80" s="6"/>
      <c r="AB80" s="6" t="s">
        <v>33</v>
      </c>
      <c r="AC80" s="6"/>
      <c r="AD80" s="6" t="s">
        <v>431</v>
      </c>
      <c r="AE80" s="6" t="s">
        <v>182</v>
      </c>
      <c r="AF80" s="6" t="s">
        <v>239</v>
      </c>
    </row>
    <row r="81" spans="1:32">
      <c r="A81" s="6" t="s">
        <v>432</v>
      </c>
      <c r="B81" s="6" t="s">
        <v>433</v>
      </c>
      <c r="C81" s="6">
        <v>1986</v>
      </c>
      <c r="D81" s="6" t="s">
        <v>434</v>
      </c>
      <c r="E81" s="6" t="str">
        <f>HYPERLINK("https://www1.nyc.gov/assets/planning/download/pdf/about/cpc/860383.pdf","Open PDF")</f>
        <v>Open PDF</v>
      </c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10"/>
      <c r="X81" s="6"/>
      <c r="Y81" s="6"/>
      <c r="Z81" s="6"/>
      <c r="AA81" s="6"/>
      <c r="AB81" s="6" t="s">
        <v>33</v>
      </c>
      <c r="AC81" s="6"/>
      <c r="AD81" s="6" t="s">
        <v>435</v>
      </c>
      <c r="AE81" s="6" t="s">
        <v>436</v>
      </c>
      <c r="AF81" s="6" t="s">
        <v>36</v>
      </c>
    </row>
    <row r="82" spans="1:32">
      <c r="A82" s="6" t="s">
        <v>437</v>
      </c>
      <c r="B82" s="6" t="s">
        <v>438</v>
      </c>
      <c r="C82" s="6">
        <v>2013</v>
      </c>
      <c r="D82" s="6" t="s">
        <v>439</v>
      </c>
      <c r="E82" s="6" t="str">
        <f>HYPERLINK("https://www1.nyc.gov/assets/planning/download/pdf/about/cpc/130162.pdf","Open PDF")</f>
        <v>Open PDF</v>
      </c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10"/>
      <c r="X82" s="6"/>
      <c r="Y82" s="6"/>
      <c r="Z82" s="6"/>
      <c r="AA82" s="6"/>
      <c r="AB82" s="6" t="s">
        <v>33</v>
      </c>
      <c r="AC82" s="6"/>
      <c r="AD82" s="6" t="s">
        <v>440</v>
      </c>
      <c r="AE82" s="6" t="s">
        <v>61</v>
      </c>
      <c r="AF82" s="6" t="s">
        <v>441</v>
      </c>
    </row>
    <row r="83" spans="1:32">
      <c r="A83" s="6" t="s">
        <v>442</v>
      </c>
      <c r="B83" s="6" t="s">
        <v>443</v>
      </c>
      <c r="C83" s="6">
        <v>2014</v>
      </c>
      <c r="D83" s="6" t="s">
        <v>444</v>
      </c>
      <c r="E83" s="6" t="str">
        <f>HYPERLINK("https://www1.nyc.gov/assets/planning/download/pdf/about/cpc/140181.pdf","Open PDF")</f>
        <v>Open PDF</v>
      </c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10"/>
      <c r="X83" s="6"/>
      <c r="Y83" s="6"/>
      <c r="Z83" s="6"/>
      <c r="AA83" s="6"/>
      <c r="AB83" s="6" t="s">
        <v>46</v>
      </c>
      <c r="AC83" s="6" t="s">
        <v>445</v>
      </c>
      <c r="AD83" s="6" t="s">
        <v>446</v>
      </c>
      <c r="AE83" s="6" t="s">
        <v>49</v>
      </c>
      <c r="AF83" s="6" t="s">
        <v>258</v>
      </c>
    </row>
    <row r="84" spans="1:32">
      <c r="A84" s="6" t="s">
        <v>447</v>
      </c>
      <c r="B84" s="6" t="s">
        <v>448</v>
      </c>
      <c r="C84" s="6">
        <v>1984</v>
      </c>
      <c r="D84" s="6" t="s">
        <v>449</v>
      </c>
      <c r="E84" s="6" t="str">
        <f>HYPERLINK("https://www1.nyc.gov/assets/planning/download/pdf/about/cpc/840863.pdf","Open PDF")</f>
        <v>Open PDF</v>
      </c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10"/>
      <c r="X84" s="6"/>
      <c r="Y84" s="6"/>
      <c r="Z84" s="6"/>
      <c r="AA84" s="6"/>
      <c r="AB84" s="6" t="s">
        <v>46</v>
      </c>
      <c r="AC84" s="6" t="s">
        <v>450</v>
      </c>
      <c r="AD84" s="6" t="s">
        <v>451</v>
      </c>
      <c r="AE84" s="6" t="s">
        <v>142</v>
      </c>
      <c r="AF84" s="6" t="s">
        <v>298</v>
      </c>
    </row>
    <row r="85" spans="1:32">
      <c r="A85" s="6" t="s">
        <v>452</v>
      </c>
      <c r="B85" s="6" t="s">
        <v>453</v>
      </c>
      <c r="C85" s="6">
        <v>1978</v>
      </c>
      <c r="D85" s="6" t="s">
        <v>454</v>
      </c>
      <c r="E85" s="6" t="str">
        <f>HYPERLINK("https://www1.nyc.gov/assets/planning/download/pdf/about/cpc/770124.pdf","Open PDF")</f>
        <v>Open PDF</v>
      </c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10"/>
      <c r="X85" s="6"/>
      <c r="Y85" s="6"/>
      <c r="Z85" s="6"/>
      <c r="AA85" s="6"/>
      <c r="AB85" s="6" t="s">
        <v>33</v>
      </c>
      <c r="AC85" s="6"/>
      <c r="AD85" s="6" t="s">
        <v>455</v>
      </c>
      <c r="AE85" s="6" t="s">
        <v>456</v>
      </c>
      <c r="AF85" s="6" t="s">
        <v>176</v>
      </c>
    </row>
    <row r="86" spans="1:32">
      <c r="A86" s="6" t="s">
        <v>457</v>
      </c>
      <c r="B86" s="6" t="s">
        <v>458</v>
      </c>
      <c r="C86" s="6">
        <v>1979</v>
      </c>
      <c r="D86" s="6" t="s">
        <v>459</v>
      </c>
      <c r="E86" s="6" t="str">
        <f>HYPERLINK("https://www1.nyc.gov/assets/planning/download/pdf/about/cpc/790478.pdf","Open PDF")</f>
        <v>Open PDF</v>
      </c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10"/>
      <c r="X86" s="6"/>
      <c r="Y86" s="6"/>
      <c r="Z86" s="6"/>
      <c r="AA86" s="6"/>
      <c r="AB86" s="6" t="s">
        <v>46</v>
      </c>
      <c r="AC86" s="6" t="s">
        <v>460</v>
      </c>
      <c r="AD86" s="6" t="s">
        <v>461</v>
      </c>
      <c r="AE86" s="6" t="s">
        <v>35</v>
      </c>
      <c r="AF86" s="6" t="s">
        <v>112</v>
      </c>
    </row>
    <row r="87" spans="1:32">
      <c r="A87" s="6" t="s">
        <v>462</v>
      </c>
      <c r="B87" s="6" t="s">
        <v>463</v>
      </c>
      <c r="C87" s="6">
        <v>2004</v>
      </c>
      <c r="D87" s="6" t="s">
        <v>464</v>
      </c>
      <c r="E87" s="6" t="str">
        <f>HYPERLINK("https://www1.nyc.gov/assets/planning/download/pdf/about/cpc/040182.pdf","Open PDF")</f>
        <v>Open PDF</v>
      </c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10"/>
      <c r="X87" s="6"/>
      <c r="Y87" s="6"/>
      <c r="Z87" s="6"/>
      <c r="AA87" s="6"/>
      <c r="AB87" s="6" t="s">
        <v>33</v>
      </c>
      <c r="AC87" s="6"/>
      <c r="AD87" s="6" t="s">
        <v>465</v>
      </c>
      <c r="AE87" s="6" t="s">
        <v>41</v>
      </c>
      <c r="AF87" s="6" t="s">
        <v>75</v>
      </c>
    </row>
    <row r="88" spans="1:32">
      <c r="A88" s="6" t="s">
        <v>466</v>
      </c>
      <c r="B88" s="6" t="s">
        <v>467</v>
      </c>
      <c r="C88" s="6">
        <v>2020</v>
      </c>
      <c r="D88" s="6" t="s">
        <v>468</v>
      </c>
      <c r="E88" s="6" t="str">
        <f>HYPERLINK("https://www1.nyc.gov/assets/planning/download/pdf/about/cpc/190267.pdf","Open PDF")</f>
        <v>Open PDF</v>
      </c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10"/>
      <c r="X88" s="6"/>
      <c r="Y88" s="6"/>
      <c r="Z88" s="6"/>
      <c r="AA88" s="6"/>
      <c r="AB88" s="6" t="s">
        <v>33</v>
      </c>
      <c r="AC88" s="6"/>
      <c r="AD88" s="6" t="s">
        <v>469</v>
      </c>
      <c r="AE88" s="6" t="s">
        <v>49</v>
      </c>
      <c r="AF88" s="6" t="s">
        <v>470</v>
      </c>
    </row>
    <row r="89" spans="1:32">
      <c r="A89" s="6" t="s">
        <v>471</v>
      </c>
      <c r="B89" s="6" t="s">
        <v>472</v>
      </c>
      <c r="C89" s="6">
        <v>1987</v>
      </c>
      <c r="D89" s="6" t="s">
        <v>473</v>
      </c>
      <c r="E89" s="6" t="str">
        <f>HYPERLINK("https://www1.nyc.gov/assets/planning/download/pdf/about/cpc/860640.pdf","Open PDF")</f>
        <v>Open PDF</v>
      </c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0"/>
      <c r="X89" s="6"/>
      <c r="Y89" s="6"/>
      <c r="Z89" s="6"/>
      <c r="AA89" s="6"/>
      <c r="AB89" s="6" t="s">
        <v>46</v>
      </c>
      <c r="AC89" s="6" t="s">
        <v>474</v>
      </c>
      <c r="AD89" s="6" t="s">
        <v>475</v>
      </c>
      <c r="AE89" s="6" t="s">
        <v>67</v>
      </c>
      <c r="AF89" s="6" t="s">
        <v>183</v>
      </c>
    </row>
    <row r="90" spans="1:32">
      <c r="A90" s="6" t="s">
        <v>476</v>
      </c>
      <c r="B90" s="6" t="s">
        <v>477</v>
      </c>
      <c r="C90" s="6">
        <v>2005</v>
      </c>
      <c r="D90" s="6" t="s">
        <v>478</v>
      </c>
      <c r="E90" s="6" t="str">
        <f>HYPERLINK("https://www1.nyc.gov/assets/planning/download/pdf/about/cpc/050275.pdf","Open PDF")</f>
        <v>Open PDF</v>
      </c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10"/>
      <c r="X90" s="6"/>
      <c r="Y90" s="6"/>
      <c r="Z90" s="6"/>
      <c r="AA90" s="6"/>
      <c r="AB90" s="6" t="s">
        <v>33</v>
      </c>
      <c r="AC90" s="6"/>
      <c r="AD90" s="6" t="s">
        <v>479</v>
      </c>
      <c r="AE90" s="6" t="s">
        <v>188</v>
      </c>
      <c r="AF90" s="6" t="s">
        <v>423</v>
      </c>
    </row>
    <row r="91" spans="1:32">
      <c r="A91" s="6" t="s">
        <v>480</v>
      </c>
      <c r="B91" s="6" t="s">
        <v>481</v>
      </c>
      <c r="C91" s="6">
        <v>2010</v>
      </c>
      <c r="D91" s="6" t="s">
        <v>482</v>
      </c>
      <c r="E91" s="6" t="str">
        <f>HYPERLINK("https://www1.nyc.gov/assets/planning/download/pdf/about/cpc/900624.pdf","Open PDF")</f>
        <v>Open PDF</v>
      </c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10"/>
      <c r="X91" s="6"/>
      <c r="Y91" s="6"/>
      <c r="Z91" s="6"/>
      <c r="AA91" s="6"/>
      <c r="AB91" s="6" t="s">
        <v>33</v>
      </c>
      <c r="AC91" s="6"/>
      <c r="AD91" s="6" t="s">
        <v>483</v>
      </c>
      <c r="AE91" s="6" t="s">
        <v>67</v>
      </c>
      <c r="AF91" s="6" t="s">
        <v>239</v>
      </c>
    </row>
    <row r="92" spans="1:32">
      <c r="A92" s="6" t="s">
        <v>484</v>
      </c>
      <c r="B92" s="6" t="s">
        <v>485</v>
      </c>
      <c r="C92" s="6">
        <v>1980</v>
      </c>
      <c r="D92" s="6" t="s">
        <v>486</v>
      </c>
      <c r="E92" s="6" t="str">
        <f>HYPERLINK("https://www1.nyc.gov/assets/planning/download/pdf/about/cpc/790809.pdf","Open PDF")</f>
        <v>Open PDF</v>
      </c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10"/>
      <c r="X92" s="6"/>
      <c r="Y92" s="6"/>
      <c r="Z92" s="6"/>
      <c r="AA92" s="6"/>
      <c r="AB92" s="6" t="s">
        <v>33</v>
      </c>
      <c r="AC92" s="6"/>
      <c r="AD92" s="6" t="s">
        <v>487</v>
      </c>
      <c r="AE92" s="6" t="s">
        <v>74</v>
      </c>
      <c r="AF92" s="6" t="s">
        <v>316</v>
      </c>
    </row>
    <row r="93" spans="1:32">
      <c r="A93" s="6" t="s">
        <v>488</v>
      </c>
      <c r="B93" s="6" t="s">
        <v>489</v>
      </c>
      <c r="C93" s="6">
        <v>1983</v>
      </c>
      <c r="D93" s="6" t="s">
        <v>490</v>
      </c>
      <c r="E93" s="6" t="str">
        <f>HYPERLINK("https://www1.nyc.gov/assets/planning/download/pdf/about/cpc/820683.pdf","Open PDF")</f>
        <v>Open PDF</v>
      </c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10"/>
      <c r="X93" s="6"/>
      <c r="Y93" s="6"/>
      <c r="Z93" s="6"/>
      <c r="AA93" s="6"/>
      <c r="AB93" s="6" t="s">
        <v>33</v>
      </c>
      <c r="AC93" s="6"/>
      <c r="AD93" s="6" t="s">
        <v>491</v>
      </c>
      <c r="AE93" s="6" t="s">
        <v>67</v>
      </c>
      <c r="AF93" s="6" t="s">
        <v>137</v>
      </c>
    </row>
    <row r="94" spans="1:32">
      <c r="A94" s="6" t="s">
        <v>492</v>
      </c>
      <c r="B94" s="6" t="s">
        <v>493</v>
      </c>
      <c r="C94" s="6">
        <v>1981</v>
      </c>
      <c r="D94" s="6" t="s">
        <v>494</v>
      </c>
      <c r="E94" s="6" t="str">
        <f>HYPERLINK("https://www1.nyc.gov/assets/planning/download/pdf/about/cpc/810436.pdf","Open PDF")</f>
        <v>Open PDF</v>
      </c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10"/>
      <c r="X94" s="6"/>
      <c r="Y94" s="6"/>
      <c r="Z94" s="6"/>
      <c r="AA94" s="6"/>
      <c r="AB94" s="6" t="s">
        <v>46</v>
      </c>
      <c r="AC94" s="6" t="s">
        <v>495</v>
      </c>
      <c r="AD94" s="6" t="s">
        <v>496</v>
      </c>
      <c r="AE94" s="6" t="s">
        <v>436</v>
      </c>
      <c r="AF94" s="6" t="s">
        <v>292</v>
      </c>
    </row>
    <row r="95" spans="1:32">
      <c r="A95" s="6" t="s">
        <v>497</v>
      </c>
      <c r="B95" s="6" t="s">
        <v>498</v>
      </c>
      <c r="C95" s="6">
        <v>2015</v>
      </c>
      <c r="D95" s="6" t="s">
        <v>499</v>
      </c>
      <c r="E95" s="6" t="str">
        <f>HYPERLINK("https://www1.nyc.gov/assets/planning/download/pdf/about/cpc/150188.pdf","Open PDF")</f>
        <v>Open PDF</v>
      </c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10"/>
      <c r="X95" s="6"/>
      <c r="Y95" s="6"/>
      <c r="Z95" s="6"/>
      <c r="AA95" s="6"/>
      <c r="AB95" s="6" t="s">
        <v>33</v>
      </c>
      <c r="AC95" s="6"/>
      <c r="AD95" s="6" t="s">
        <v>500</v>
      </c>
      <c r="AE95" s="6" t="s">
        <v>249</v>
      </c>
      <c r="AF95" s="6" t="s">
        <v>501</v>
      </c>
    </row>
    <row r="96" spans="1:32">
      <c r="A96" s="6" t="s">
        <v>502</v>
      </c>
      <c r="B96" s="6" t="s">
        <v>503</v>
      </c>
      <c r="C96" s="6">
        <v>1979</v>
      </c>
      <c r="D96" s="6" t="s">
        <v>504</v>
      </c>
      <c r="E96" s="6" t="str">
        <f>HYPERLINK("https://www1.nyc.gov/assets/planning/download/pdf/about/cpc/780631.pdf","Open PDF")</f>
        <v>Open PDF</v>
      </c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10"/>
      <c r="X96" s="6"/>
      <c r="Y96" s="6"/>
      <c r="Z96" s="6"/>
      <c r="AA96" s="6"/>
      <c r="AB96" s="6" t="s">
        <v>33</v>
      </c>
      <c r="AC96" s="6"/>
      <c r="AD96" s="6" t="s">
        <v>505</v>
      </c>
      <c r="AE96" s="6" t="s">
        <v>74</v>
      </c>
      <c r="AF96" s="6" t="s">
        <v>506</v>
      </c>
    </row>
    <row r="97" spans="1:32">
      <c r="A97" s="6" t="s">
        <v>507</v>
      </c>
      <c r="B97" s="6" t="s">
        <v>508</v>
      </c>
      <c r="C97" s="6">
        <v>2009</v>
      </c>
      <c r="D97" s="6" t="s">
        <v>509</v>
      </c>
      <c r="E97" s="6" t="str">
        <f>HYPERLINK("https://www1.nyc.gov/assets/planning/download/pdf/about/cpc/090310.pdf","Open PDF")</f>
        <v>Open PDF</v>
      </c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10"/>
      <c r="X97" s="6"/>
      <c r="Y97" s="6"/>
      <c r="Z97" s="6"/>
      <c r="AA97" s="6"/>
      <c r="AB97" s="6" t="s">
        <v>33</v>
      </c>
      <c r="AC97" s="6"/>
      <c r="AD97" s="6" t="s">
        <v>510</v>
      </c>
      <c r="AE97" s="6" t="s">
        <v>49</v>
      </c>
      <c r="AF97" s="6" t="s">
        <v>75</v>
      </c>
    </row>
    <row r="98" spans="1:32">
      <c r="A98" s="6" t="s">
        <v>511</v>
      </c>
      <c r="B98" s="6" t="s">
        <v>512</v>
      </c>
      <c r="C98" s="6">
        <v>2019</v>
      </c>
      <c r="D98" s="6" t="s">
        <v>513</v>
      </c>
      <c r="E98" s="6" t="str">
        <f>HYPERLINK("https://www1.nyc.gov/assets/planning/download/pdf/about/cpc/180042.pdf","Open PDF")</f>
        <v>Open PDF</v>
      </c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10"/>
      <c r="X98" s="6"/>
      <c r="Y98" s="6"/>
      <c r="Z98" s="6"/>
      <c r="AA98" s="6"/>
      <c r="AB98" s="6" t="s">
        <v>33</v>
      </c>
      <c r="AC98" s="6"/>
      <c r="AD98" s="6" t="s">
        <v>514</v>
      </c>
      <c r="AE98" s="6" t="s">
        <v>49</v>
      </c>
      <c r="AF98" s="6" t="s">
        <v>515</v>
      </c>
    </row>
    <row r="99" spans="1:32">
      <c r="A99" s="6" t="s">
        <v>516</v>
      </c>
      <c r="B99" s="6" t="s">
        <v>517</v>
      </c>
      <c r="C99" s="6">
        <v>1987</v>
      </c>
      <c r="D99" s="6" t="s">
        <v>518</v>
      </c>
      <c r="E99" s="6" t="str">
        <f>HYPERLINK("https://www1.nyc.gov/assets/planning/download/pdf/about/cpc/860553.pdf","Open PDF")</f>
        <v>Open PDF</v>
      </c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10"/>
      <c r="X99" s="6"/>
      <c r="Y99" s="6"/>
      <c r="Z99" s="6"/>
      <c r="AA99" s="6"/>
      <c r="AB99" s="6" t="s">
        <v>33</v>
      </c>
      <c r="AC99" s="6"/>
      <c r="AD99" s="6" t="s">
        <v>519</v>
      </c>
      <c r="AE99" s="6" t="s">
        <v>49</v>
      </c>
      <c r="AF99" s="6" t="s">
        <v>298</v>
      </c>
    </row>
    <row r="100" spans="1:32">
      <c r="A100" s="6" t="s">
        <v>520</v>
      </c>
      <c r="B100" s="6" t="s">
        <v>521</v>
      </c>
      <c r="C100" s="6">
        <v>2003</v>
      </c>
      <c r="D100" s="6" t="s">
        <v>522</v>
      </c>
      <c r="E100" s="6" t="str">
        <f>HYPERLINK("https://www1.nyc.gov/assets/planning/download/pdf/about/cpc/030441.pdf","Open PDF")</f>
        <v>Open PDF</v>
      </c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10"/>
      <c r="X100" s="6"/>
      <c r="Y100" s="6"/>
      <c r="Z100" s="6"/>
      <c r="AA100" s="6"/>
      <c r="AB100" s="6" t="s">
        <v>33</v>
      </c>
      <c r="AC100" s="6"/>
      <c r="AD100" s="6" t="s">
        <v>523</v>
      </c>
      <c r="AE100" s="6" t="s">
        <v>188</v>
      </c>
      <c r="AF100" s="6" t="s">
        <v>286</v>
      </c>
    </row>
    <row r="101" spans="1:32">
      <c r="A101" s="6" t="s">
        <v>524</v>
      </c>
      <c r="B101" s="6" t="s">
        <v>525</v>
      </c>
      <c r="C101" s="6">
        <v>2024</v>
      </c>
      <c r="D101" s="6" t="s">
        <v>526</v>
      </c>
      <c r="E101" s="6" t="str">
        <f>HYPERLINK("https://www1.nyc.gov/assets/planning/download/pdf/about/cpc/240082.pdf","Open PDF")</f>
        <v>Open PDF</v>
      </c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0"/>
      <c r="X101" s="6"/>
      <c r="Y101" s="6"/>
      <c r="Z101" s="6"/>
      <c r="AA101" s="6"/>
      <c r="AB101" s="6" t="s">
        <v>33</v>
      </c>
      <c r="AC101" s="6"/>
      <c r="AD101" s="6" t="s">
        <v>527</v>
      </c>
      <c r="AE101" s="6" t="s">
        <v>67</v>
      </c>
      <c r="AF101" s="6" t="s">
        <v>85</v>
      </c>
    </row>
    <row r="102" spans="1:32">
      <c r="A102" s="6" t="s">
        <v>528</v>
      </c>
      <c r="B102" s="6" t="s">
        <v>529</v>
      </c>
      <c r="C102" s="6">
        <v>2008</v>
      </c>
      <c r="D102" s="6" t="s">
        <v>530</v>
      </c>
      <c r="E102" s="6" t="str">
        <f>HYPERLINK("https://www1.nyc.gov/assets/planning/download/pdf/about/cpc/080455.pdf","Open PDF")</f>
        <v>Open PDF</v>
      </c>
      <c r="F102" s="6"/>
      <c r="G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10"/>
      <c r="X102" s="6"/>
      <c r="Y102" s="6"/>
      <c r="Z102" s="6"/>
      <c r="AA102" s="6"/>
      <c r="AB102" s="6" t="s">
        <v>33</v>
      </c>
      <c r="AC102" s="6"/>
      <c r="AD102" s="6" t="s">
        <v>531</v>
      </c>
      <c r="AE102" s="6" t="s">
        <v>272</v>
      </c>
      <c r="AF102" s="6" t="s">
        <v>68</v>
      </c>
    </row>
    <row r="103" spans="1:32">
      <c r="A103" s="6" t="s">
        <v>532</v>
      </c>
      <c r="B103" s="6" t="s">
        <v>533</v>
      </c>
      <c r="C103" s="6">
        <v>1991</v>
      </c>
      <c r="D103" s="6" t="s">
        <v>534</v>
      </c>
      <c r="E103" s="6" t="str">
        <f>HYPERLINK("https://www1.nyc.gov/assets/planning/download/pdf/about/cpc/910338.pdf","Open PDF")</f>
        <v>Open PDF</v>
      </c>
      <c r="F103" s="6"/>
      <c r="G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10"/>
      <c r="X103" s="6"/>
      <c r="Y103" s="6"/>
      <c r="Z103" s="6"/>
      <c r="AA103" s="6"/>
      <c r="AB103" s="6" t="s">
        <v>33</v>
      </c>
      <c r="AC103" s="6"/>
      <c r="AD103" s="6" t="s">
        <v>535</v>
      </c>
      <c r="AE103" s="6" t="s">
        <v>41</v>
      </c>
      <c r="AF103" s="6" t="s">
        <v>250</v>
      </c>
    </row>
    <row r="104" spans="1:32">
      <c r="A104" s="6" t="s">
        <v>536</v>
      </c>
      <c r="B104" s="6" t="s">
        <v>537</v>
      </c>
      <c r="C104" s="6">
        <v>2002</v>
      </c>
      <c r="D104" s="6" t="s">
        <v>538</v>
      </c>
      <c r="E104" s="6" t="str">
        <f>HYPERLINK("https://www1.nyc.gov/assets/planning/download/pdf/about/cpc/020464.pdf","Open PDF")</f>
        <v>Open PDF</v>
      </c>
      <c r="F104" s="6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10"/>
      <c r="X104" s="6"/>
      <c r="Y104" s="6"/>
      <c r="Z104" s="6"/>
      <c r="AA104" s="6"/>
      <c r="AB104" s="6" t="s">
        <v>33</v>
      </c>
      <c r="AC104" s="6"/>
      <c r="AD104" s="6" t="s">
        <v>539</v>
      </c>
      <c r="AE104" s="6" t="s">
        <v>188</v>
      </c>
      <c r="AF104" s="6" t="s">
        <v>258</v>
      </c>
    </row>
    <row r="105" spans="1:32">
      <c r="A105" s="6" t="s">
        <v>540</v>
      </c>
      <c r="B105" s="6" t="s">
        <v>541</v>
      </c>
      <c r="C105" s="6">
        <v>2004</v>
      </c>
      <c r="D105" s="6" t="s">
        <v>542</v>
      </c>
      <c r="E105" s="6" t="str">
        <f>HYPERLINK("https://www1.nyc.gov/assets/planning/download/pdf/about/cpc/040515.pdf","Open PDF")</f>
        <v>Open PDF</v>
      </c>
      <c r="F105" s="6"/>
      <c r="G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10"/>
      <c r="X105" s="6"/>
      <c r="Y105" s="6"/>
      <c r="Z105" s="6"/>
      <c r="AA105" s="6"/>
      <c r="AB105" s="6" t="s">
        <v>46</v>
      </c>
      <c r="AC105" s="6" t="s">
        <v>543</v>
      </c>
      <c r="AD105" s="6" t="s">
        <v>544</v>
      </c>
      <c r="AE105" s="6" t="s">
        <v>49</v>
      </c>
      <c r="AF105" s="6" t="s">
        <v>343</v>
      </c>
    </row>
    <row r="106" spans="1:32">
      <c r="A106" s="6" t="s">
        <v>545</v>
      </c>
      <c r="B106" s="6" t="s">
        <v>546</v>
      </c>
      <c r="C106" s="6">
        <v>2002</v>
      </c>
      <c r="D106" s="6" t="s">
        <v>547</v>
      </c>
      <c r="E106" s="6" t="str">
        <f>HYPERLINK("https://www1.nyc.gov/assets/planning/download/pdf/about/cpc/020063.pdf","Open PDF")</f>
        <v>Open PDF</v>
      </c>
      <c r="F106" s="6"/>
      <c r="G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10"/>
      <c r="X106" s="6"/>
      <c r="Y106" s="6"/>
      <c r="Z106" s="6"/>
      <c r="AA106" s="6"/>
      <c r="AB106" s="6" t="s">
        <v>33</v>
      </c>
      <c r="AC106" s="6"/>
      <c r="AD106" s="6" t="s">
        <v>548</v>
      </c>
      <c r="AE106" s="6" t="s">
        <v>41</v>
      </c>
      <c r="AF106" s="6" t="s">
        <v>273</v>
      </c>
    </row>
    <row r="107" spans="1:32">
      <c r="A107" s="6" t="s">
        <v>549</v>
      </c>
      <c r="B107" s="6" t="s">
        <v>550</v>
      </c>
      <c r="C107" s="6">
        <v>2019</v>
      </c>
      <c r="D107" s="6" t="s">
        <v>551</v>
      </c>
      <c r="E107" s="6" t="str">
        <f>HYPERLINK("https://www1.nyc.gov/assets/planning/download/pdf/about/cpc/190452.pdf","Open PDF")</f>
        <v>Open PDF</v>
      </c>
      <c r="F107" s="6"/>
      <c r="G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10"/>
      <c r="X107" s="6"/>
      <c r="Y107" s="6"/>
      <c r="Z107" s="6"/>
      <c r="AA107" s="6"/>
      <c r="AB107" s="6" t="s">
        <v>33</v>
      </c>
      <c r="AC107" s="6"/>
      <c r="AD107" s="6" t="s">
        <v>552</v>
      </c>
      <c r="AE107" s="6" t="s">
        <v>249</v>
      </c>
      <c r="AF107" s="6" t="s">
        <v>85</v>
      </c>
    </row>
    <row r="108" spans="1:32">
      <c r="A108" s="6" t="s">
        <v>553</v>
      </c>
      <c r="B108" s="6" t="s">
        <v>554</v>
      </c>
      <c r="C108" s="6">
        <v>2016</v>
      </c>
      <c r="D108" s="6" t="s">
        <v>555</v>
      </c>
      <c r="E108" s="6" t="str">
        <f>HYPERLINK("https://www1.nyc.gov/assets/planning/download/pdf/about/cpc/160137.pdf","Open PDF")</f>
        <v>Open PDF</v>
      </c>
      <c r="F108" s="6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10"/>
      <c r="X108" s="6"/>
      <c r="Y108" s="6"/>
      <c r="Z108" s="6"/>
      <c r="AA108" s="6"/>
      <c r="AB108" s="6" t="s">
        <v>33</v>
      </c>
      <c r="AC108" s="6"/>
      <c r="AD108" s="6" t="s">
        <v>556</v>
      </c>
      <c r="AE108" s="6" t="s">
        <v>49</v>
      </c>
      <c r="AF108" s="6" t="s">
        <v>423</v>
      </c>
    </row>
    <row r="109" spans="1:32">
      <c r="A109" s="6" t="s">
        <v>557</v>
      </c>
      <c r="B109" s="6" t="s">
        <v>558</v>
      </c>
      <c r="C109" s="6">
        <v>1999</v>
      </c>
      <c r="D109" s="6" t="s">
        <v>559</v>
      </c>
      <c r="E109" s="6" t="str">
        <f>HYPERLINK("https://www1.nyc.gov/assets/planning/download/pdf/about/cpc/990581.pdf","Open PDF")</f>
        <v>Open PDF</v>
      </c>
      <c r="F109" s="6"/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10"/>
      <c r="X109" s="6"/>
      <c r="Y109" s="6"/>
      <c r="Z109" s="6"/>
      <c r="AA109" s="6"/>
      <c r="AB109" s="6" t="s">
        <v>33</v>
      </c>
      <c r="AC109" s="6"/>
      <c r="AD109" s="6" t="s">
        <v>560</v>
      </c>
      <c r="AE109" s="6" t="s">
        <v>188</v>
      </c>
      <c r="AF109" s="6" t="s">
        <v>95</v>
      </c>
    </row>
    <row r="110" spans="1:32">
      <c r="A110" s="6" t="s">
        <v>561</v>
      </c>
      <c r="B110" s="6" t="s">
        <v>562</v>
      </c>
      <c r="C110" s="6">
        <v>2012</v>
      </c>
      <c r="D110" s="6" t="s">
        <v>563</v>
      </c>
      <c r="E110" s="6" t="str">
        <f>HYPERLINK("https://www1.nyc.gov/assets/planning/download/pdf/about/cpc/120177.pdf","Open PDF")</f>
        <v>Open PDF</v>
      </c>
      <c r="F110" s="6"/>
      <c r="G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10"/>
      <c r="X110" s="6"/>
      <c r="Y110" s="6"/>
      <c r="Z110" s="6"/>
      <c r="AA110" s="6"/>
      <c r="AB110" s="6" t="s">
        <v>33</v>
      </c>
      <c r="AC110" s="6"/>
      <c r="AD110" s="6" t="s">
        <v>564</v>
      </c>
      <c r="AE110" s="6" t="s">
        <v>249</v>
      </c>
      <c r="AF110" s="6" t="s">
        <v>258</v>
      </c>
    </row>
    <row r="111" spans="1:32">
      <c r="A111" s="6" t="s">
        <v>565</v>
      </c>
      <c r="B111" s="6" t="s">
        <v>566</v>
      </c>
      <c r="C111" s="6">
        <v>1992</v>
      </c>
      <c r="D111" s="6" t="s">
        <v>567</v>
      </c>
      <c r="E111" s="6" t="str">
        <f>HYPERLINK("https://www1.nyc.gov/assets/planning/download/pdf/about/cpc/920067.pdf","Open PDF")</f>
        <v>Open PDF</v>
      </c>
      <c r="F111" s="6"/>
      <c r="G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10"/>
      <c r="X111" s="6"/>
      <c r="Y111" s="6"/>
      <c r="Z111" s="6"/>
      <c r="AA111" s="6"/>
      <c r="AB111" s="6" t="s">
        <v>33</v>
      </c>
      <c r="AC111" s="6"/>
      <c r="AD111" s="6" t="s">
        <v>568</v>
      </c>
      <c r="AE111" s="6" t="s">
        <v>61</v>
      </c>
      <c r="AF111" s="6" t="s">
        <v>90</v>
      </c>
    </row>
    <row r="112" spans="1:32">
      <c r="A112" s="6" t="s">
        <v>569</v>
      </c>
      <c r="B112" s="6" t="s">
        <v>570</v>
      </c>
      <c r="C112" s="6">
        <v>2019</v>
      </c>
      <c r="D112" s="6" t="s">
        <v>571</v>
      </c>
      <c r="E112" s="6" t="str">
        <f>HYPERLINK("https://www1.nyc.gov/assets/planning/download/pdf/about/cpc/190208.pdf","Open PDF")</f>
        <v>Open PDF</v>
      </c>
      <c r="F112" s="6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10"/>
      <c r="X112" s="6"/>
      <c r="Y112" s="6"/>
      <c r="Z112" s="6"/>
      <c r="AA112" s="6"/>
      <c r="AB112" s="6" t="s">
        <v>33</v>
      </c>
      <c r="AC112" s="6"/>
      <c r="AD112" s="6" t="s">
        <v>572</v>
      </c>
      <c r="AE112" s="6" t="s">
        <v>74</v>
      </c>
      <c r="AF112" s="6" t="s">
        <v>506</v>
      </c>
    </row>
    <row r="113" spans="1:32">
      <c r="A113" s="6" t="s">
        <v>573</v>
      </c>
      <c r="B113" s="6" t="s">
        <v>574</v>
      </c>
      <c r="C113" s="6">
        <v>2008</v>
      </c>
      <c r="D113" s="6" t="s">
        <v>575</v>
      </c>
      <c r="E113" s="6" t="str">
        <f>HYPERLINK("https://www1.nyc.gov/assets/planning/download/pdf/about/cpc/080313.pdf","Open PDF")</f>
        <v>Open PDF</v>
      </c>
      <c r="F113" s="6"/>
      <c r="G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10"/>
      <c r="X113" s="6"/>
      <c r="Y113" s="6"/>
      <c r="Z113" s="6"/>
      <c r="AA113" s="6"/>
      <c r="AB113" s="6" t="s">
        <v>46</v>
      </c>
      <c r="AC113" s="6" t="s">
        <v>576</v>
      </c>
      <c r="AD113" s="6" t="s">
        <v>577</v>
      </c>
      <c r="AE113" s="6" t="s">
        <v>41</v>
      </c>
      <c r="AF113" s="6" t="s">
        <v>273</v>
      </c>
    </row>
    <row r="114" spans="1:32">
      <c r="A114" s="6" t="s">
        <v>578</v>
      </c>
      <c r="B114" s="6" t="s">
        <v>206</v>
      </c>
      <c r="C114" s="6">
        <v>2000</v>
      </c>
      <c r="D114" s="6" t="s">
        <v>579</v>
      </c>
      <c r="E114" s="6" t="str">
        <f>HYPERLINK("https://www1.nyc.gov/assets/planning/download/pdf/about/cpc/000040.pdf","Open PDF")</f>
        <v>Open PDF</v>
      </c>
      <c r="F114" s="6"/>
      <c r="G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10"/>
      <c r="X114" s="6"/>
      <c r="Y114" s="6"/>
      <c r="Z114" s="6"/>
      <c r="AA114" s="6"/>
      <c r="AB114" s="6" t="s">
        <v>33</v>
      </c>
      <c r="AC114" s="6"/>
      <c r="AD114" s="6" t="s">
        <v>580</v>
      </c>
      <c r="AE114" s="6" t="s">
        <v>74</v>
      </c>
      <c r="AF114" s="6" t="s">
        <v>367</v>
      </c>
    </row>
    <row r="115" spans="1:32">
      <c r="A115" s="6" t="s">
        <v>581</v>
      </c>
      <c r="B115" s="6" t="s">
        <v>582</v>
      </c>
      <c r="C115" s="6">
        <v>2003</v>
      </c>
      <c r="D115" s="6" t="s">
        <v>583</v>
      </c>
      <c r="E115" s="6" t="str">
        <f>HYPERLINK("https://www1.nyc.gov/assets/planning/download/pdf/about/cpc/030262.pdf","Open PDF")</f>
        <v>Open PDF</v>
      </c>
      <c r="F115" s="6"/>
      <c r="G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10"/>
      <c r="X115" s="6"/>
      <c r="Y115" s="6"/>
      <c r="Z115" s="6"/>
      <c r="AA115" s="6"/>
      <c r="AB115" s="6" t="s">
        <v>33</v>
      </c>
      <c r="AC115" s="6"/>
      <c r="AD115" s="6" t="s">
        <v>584</v>
      </c>
      <c r="AE115" s="6" t="s">
        <v>188</v>
      </c>
      <c r="AF115" s="6" t="s">
        <v>423</v>
      </c>
    </row>
    <row r="116" spans="1:32">
      <c r="A116" s="6" t="s">
        <v>585</v>
      </c>
      <c r="B116" s="6" t="s">
        <v>586</v>
      </c>
      <c r="C116" s="6">
        <v>2017</v>
      </c>
      <c r="D116" s="6" t="s">
        <v>587</v>
      </c>
      <c r="E116" s="6" t="str">
        <f>HYPERLINK("https://www1.nyc.gov/assets/planning/download/pdf/about/cpc/170280.pdf","Open PDF")</f>
        <v>Open PDF</v>
      </c>
      <c r="F116" s="6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10"/>
      <c r="X116" s="6"/>
      <c r="Y116" s="6"/>
      <c r="Z116" s="6"/>
      <c r="AA116" s="6"/>
      <c r="AB116" s="6" t="s">
        <v>33</v>
      </c>
      <c r="AC116" s="6"/>
      <c r="AD116" s="6" t="s">
        <v>588</v>
      </c>
      <c r="AE116" s="6" t="s">
        <v>41</v>
      </c>
      <c r="AF116" s="6" t="s">
        <v>112</v>
      </c>
    </row>
    <row r="117" spans="1:32">
      <c r="A117" s="6" t="s">
        <v>589</v>
      </c>
      <c r="B117" s="6" t="s">
        <v>590</v>
      </c>
      <c r="C117" s="6">
        <v>1999</v>
      </c>
      <c r="D117" s="6" t="s">
        <v>591</v>
      </c>
      <c r="E117" s="6" t="str">
        <f>HYPERLINK("https://www1.nyc.gov/assets/planning/download/pdf/about/cpc/990677.pdf","Open PDF")</f>
        <v>Open PDF</v>
      </c>
      <c r="F117" s="6"/>
      <c r="G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10"/>
      <c r="X117" s="6"/>
      <c r="Y117" s="6"/>
      <c r="Z117" s="6"/>
      <c r="AA117" s="6"/>
      <c r="AB117" s="6" t="s">
        <v>33</v>
      </c>
      <c r="AC117" s="6"/>
      <c r="AD117" s="6" t="s">
        <v>592</v>
      </c>
      <c r="AE117" s="6" t="s">
        <v>41</v>
      </c>
      <c r="AF117" s="6" t="s">
        <v>75</v>
      </c>
    </row>
    <row r="118" spans="1:32">
      <c r="A118" s="6" t="s">
        <v>593</v>
      </c>
      <c r="B118" s="6" t="s">
        <v>590</v>
      </c>
      <c r="C118" s="6">
        <v>1990</v>
      </c>
      <c r="D118" s="6" t="s">
        <v>594</v>
      </c>
      <c r="E118" s="6" t="str">
        <f>HYPERLINK("https://www1.nyc.gov/assets/planning/download/pdf/about/cpc/900036.pdf","Open PDF")</f>
        <v>Open PDF</v>
      </c>
      <c r="F118" s="6"/>
      <c r="G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10"/>
      <c r="X118" s="6"/>
      <c r="Y118" s="6"/>
      <c r="Z118" s="6"/>
      <c r="AA118" s="6"/>
      <c r="AB118" s="6" t="s">
        <v>33</v>
      </c>
      <c r="AC118" s="6"/>
      <c r="AD118" s="6" t="s">
        <v>595</v>
      </c>
      <c r="AE118" s="6" t="s">
        <v>41</v>
      </c>
      <c r="AF118" s="6" t="s">
        <v>75</v>
      </c>
    </row>
    <row r="119" spans="1:32">
      <c r="A119" s="6" t="s">
        <v>596</v>
      </c>
      <c r="B119" s="6" t="s">
        <v>597</v>
      </c>
      <c r="C119" s="6">
        <v>2018</v>
      </c>
      <c r="D119" s="6" t="s">
        <v>598</v>
      </c>
      <c r="E119" s="6" t="str">
        <f>HYPERLINK("https://www1.nyc.gov/assets/planning/download/pdf/about/cpc/180186.pdf","Open PDF")</f>
        <v>Open PDF</v>
      </c>
      <c r="F119" s="6"/>
      <c r="G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10"/>
      <c r="X119" s="6"/>
      <c r="Y119" s="6"/>
      <c r="Z119" s="6"/>
      <c r="AA119" s="6"/>
      <c r="AB119" s="6" t="s">
        <v>33</v>
      </c>
      <c r="AC119" s="6"/>
      <c r="AD119" s="6" t="s">
        <v>599</v>
      </c>
      <c r="AE119" s="6" t="s">
        <v>49</v>
      </c>
      <c r="AF119" s="6" t="s">
        <v>361</v>
      </c>
    </row>
    <row r="120" spans="1:32">
      <c r="A120" s="6" t="s">
        <v>600</v>
      </c>
      <c r="B120" s="6" t="s">
        <v>601</v>
      </c>
      <c r="C120" s="6">
        <v>2009</v>
      </c>
      <c r="D120" s="6" t="s">
        <v>602</v>
      </c>
      <c r="E120" s="6" t="str">
        <f>HYPERLINK("https://www1.nyc.gov/assets/planning/download/pdf/about/cpc/090447.pdf","Open PDF")</f>
        <v>Open PDF</v>
      </c>
      <c r="F120" s="6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10"/>
      <c r="X120" s="6"/>
      <c r="Y120" s="6"/>
      <c r="Z120" s="6"/>
      <c r="AA120" s="6"/>
      <c r="AB120" s="6" t="s">
        <v>46</v>
      </c>
      <c r="AC120" s="6" t="s">
        <v>603</v>
      </c>
      <c r="AD120" s="6" t="s">
        <v>604</v>
      </c>
      <c r="AE120" s="6" t="s">
        <v>188</v>
      </c>
      <c r="AF120" s="6" t="s">
        <v>95</v>
      </c>
    </row>
    <row r="121" spans="1:32">
      <c r="A121" s="6" t="s">
        <v>605</v>
      </c>
      <c r="B121" s="6" t="s">
        <v>606</v>
      </c>
      <c r="C121" s="6">
        <v>2022</v>
      </c>
      <c r="D121" s="6" t="s">
        <v>607</v>
      </c>
      <c r="E121" s="6" t="str">
        <f>HYPERLINK("https://www1.nyc.gov/assets/planning/download/pdf/about/cpc/220171.pdf","Open PDF")</f>
        <v>Open PDF</v>
      </c>
      <c r="F121" s="6"/>
      <c r="G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10"/>
      <c r="X121" s="6"/>
      <c r="Y121" s="6"/>
      <c r="Z121" s="6"/>
      <c r="AA121" s="6"/>
      <c r="AB121" s="6" t="s">
        <v>33</v>
      </c>
      <c r="AC121" s="6"/>
      <c r="AD121" s="6" t="s">
        <v>608</v>
      </c>
      <c r="AE121" s="6" t="s">
        <v>49</v>
      </c>
      <c r="AF121" s="6" t="s">
        <v>334</v>
      </c>
    </row>
    <row r="122" spans="1:32">
      <c r="A122" s="6" t="s">
        <v>609</v>
      </c>
      <c r="B122" s="6" t="s">
        <v>610</v>
      </c>
      <c r="C122" s="6">
        <v>2020</v>
      </c>
      <c r="D122" s="6" t="s">
        <v>611</v>
      </c>
      <c r="E122" s="6" t="str">
        <f>HYPERLINK("https://www1.nyc.gov/assets/planning/download/pdf/about/cpc/180308.pdf","Open PDF")</f>
        <v>Open PDF</v>
      </c>
      <c r="F122" s="6"/>
      <c r="G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10"/>
      <c r="X122" s="6"/>
      <c r="Y122" s="6"/>
      <c r="Z122" s="6"/>
      <c r="AA122" s="6"/>
      <c r="AB122" s="6" t="s">
        <v>46</v>
      </c>
      <c r="AC122" s="6" t="s">
        <v>612</v>
      </c>
      <c r="AD122" s="6" t="s">
        <v>613</v>
      </c>
      <c r="AE122" s="6" t="s">
        <v>41</v>
      </c>
      <c r="AF122" s="6" t="s">
        <v>50</v>
      </c>
    </row>
    <row r="123" spans="1:32">
      <c r="A123" s="6" t="s">
        <v>614</v>
      </c>
      <c r="B123" s="6" t="s">
        <v>615</v>
      </c>
      <c r="C123" s="6">
        <v>1976</v>
      </c>
      <c r="D123" s="6" t="s">
        <v>616</v>
      </c>
      <c r="E123" s="6" t="str">
        <f>HYPERLINK("https://www1.nyc.gov/assets/planning/download/pdf/about/cpc/760088.pdf","Open PDF")</f>
        <v>Open PDF</v>
      </c>
      <c r="F123" s="6"/>
      <c r="G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10"/>
      <c r="X123" s="6"/>
      <c r="Y123" s="6"/>
      <c r="Z123" s="6"/>
      <c r="AA123" s="6"/>
      <c r="AB123" s="6" t="s">
        <v>33</v>
      </c>
      <c r="AC123" s="6"/>
      <c r="AD123" s="6" t="s">
        <v>617</v>
      </c>
      <c r="AE123" s="6" t="s">
        <v>49</v>
      </c>
      <c r="AF123" s="6" t="s">
        <v>618</v>
      </c>
    </row>
    <row r="124" spans="1:32">
      <c r="A124" s="6" t="s">
        <v>619</v>
      </c>
      <c r="B124" s="6" t="s">
        <v>620</v>
      </c>
      <c r="C124" s="6">
        <v>1985</v>
      </c>
      <c r="D124" s="6" t="s">
        <v>621</v>
      </c>
      <c r="E124" s="6" t="str">
        <f>HYPERLINK("https://www1.nyc.gov/assets/planning/download/pdf/about/cpc/851020.pdf","Open PDF")</f>
        <v>Open PDF</v>
      </c>
      <c r="F124" s="6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10"/>
      <c r="X124" s="6"/>
      <c r="Y124" s="6"/>
      <c r="Z124" s="6"/>
      <c r="AA124" s="6"/>
      <c r="AB124" s="6" t="s">
        <v>46</v>
      </c>
      <c r="AC124" s="6" t="s">
        <v>622</v>
      </c>
      <c r="AD124" s="6" t="s">
        <v>623</v>
      </c>
      <c r="AE124" s="6" t="s">
        <v>74</v>
      </c>
      <c r="AF124" s="6" t="s">
        <v>42</v>
      </c>
    </row>
    <row r="125" spans="1:32">
      <c r="A125" s="6" t="s">
        <v>624</v>
      </c>
      <c r="B125" s="6" t="s">
        <v>206</v>
      </c>
      <c r="C125" s="6">
        <v>1995</v>
      </c>
      <c r="D125" s="6" t="s">
        <v>625</v>
      </c>
      <c r="E125" s="6" t="str">
        <f>HYPERLINK("https://www1.nyc.gov/assets/planning/download/pdf/about/cpc/930125.pdf","Open PDF")</f>
        <v>Open PDF</v>
      </c>
      <c r="F125" s="6"/>
      <c r="G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10"/>
      <c r="X125" s="6"/>
      <c r="Y125" s="6"/>
      <c r="Z125" s="6"/>
      <c r="AA125" s="6"/>
      <c r="AB125" s="6" t="s">
        <v>33</v>
      </c>
      <c r="AC125" s="6"/>
      <c r="AD125" s="6" t="s">
        <v>626</v>
      </c>
      <c r="AE125" s="6" t="s">
        <v>74</v>
      </c>
      <c r="AF125" s="6" t="s">
        <v>183</v>
      </c>
    </row>
    <row r="126" spans="1:32">
      <c r="A126" s="6" t="s">
        <v>627</v>
      </c>
      <c r="B126" s="6" t="s">
        <v>628</v>
      </c>
      <c r="C126" s="6">
        <v>2011</v>
      </c>
      <c r="D126" s="6" t="s">
        <v>629</v>
      </c>
      <c r="E126" s="6" t="str">
        <f>HYPERLINK("https://www1.nyc.gov/assets/planning/download/pdf/about/cpc/110386.pdf","Open PDF")</f>
        <v>Open PDF</v>
      </c>
      <c r="F126" s="6"/>
      <c r="G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10"/>
      <c r="X126" s="6"/>
      <c r="Y126" s="6"/>
      <c r="Z126" s="6"/>
      <c r="AA126" s="6"/>
      <c r="AB126" s="6" t="s">
        <v>33</v>
      </c>
      <c r="AC126" s="6"/>
      <c r="AD126" s="6" t="s">
        <v>630</v>
      </c>
      <c r="AE126" s="6" t="s">
        <v>49</v>
      </c>
      <c r="AF126" s="6" t="s">
        <v>631</v>
      </c>
    </row>
    <row r="127" spans="1:32">
      <c r="A127" s="6" t="s">
        <v>632</v>
      </c>
      <c r="B127" s="6" t="s">
        <v>633</v>
      </c>
      <c r="C127" s="6">
        <v>1992</v>
      </c>
      <c r="D127" s="6" t="s">
        <v>634</v>
      </c>
      <c r="E127" s="6" t="str">
        <f>HYPERLINK("https://www1.nyc.gov/assets/planning/download/pdf/about/cpc/910119.pdf","Open PDF")</f>
        <v>Open PDF</v>
      </c>
      <c r="F127" s="6"/>
      <c r="G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10"/>
      <c r="X127" s="6"/>
      <c r="Y127" s="6"/>
      <c r="Z127" s="6"/>
      <c r="AA127" s="6"/>
      <c r="AB127" s="6" t="s">
        <v>33</v>
      </c>
      <c r="AC127" s="6"/>
      <c r="AD127" s="6" t="s">
        <v>635</v>
      </c>
      <c r="AE127" s="6" t="s">
        <v>272</v>
      </c>
      <c r="AF127" s="6" t="s">
        <v>85</v>
      </c>
    </row>
    <row r="128" spans="1:32">
      <c r="A128" s="6" t="s">
        <v>636</v>
      </c>
      <c r="B128" s="6" t="s">
        <v>637</v>
      </c>
      <c r="C128" s="6">
        <v>1982</v>
      </c>
      <c r="D128" s="6" t="s">
        <v>638</v>
      </c>
      <c r="E128" s="6" t="str">
        <f>HYPERLINK("https://www1.nyc.gov/assets/planning/download/pdf/about/cpc/820363.pdf","Open PDF")</f>
        <v>Open PDF</v>
      </c>
      <c r="F128" s="6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10"/>
      <c r="X128" s="6"/>
      <c r="Y128" s="6"/>
      <c r="Z128" s="6"/>
      <c r="AA128" s="6"/>
      <c r="AB128" s="6" t="s">
        <v>46</v>
      </c>
      <c r="AC128" s="6" t="s">
        <v>639</v>
      </c>
      <c r="AD128" s="6" t="s">
        <v>640</v>
      </c>
      <c r="AE128" s="6" t="s">
        <v>142</v>
      </c>
      <c r="AF128" s="6" t="s">
        <v>298</v>
      </c>
    </row>
    <row r="129" spans="1:32">
      <c r="A129" s="6" t="s">
        <v>641</v>
      </c>
      <c r="B129" s="6" t="s">
        <v>642</v>
      </c>
      <c r="C129" s="6">
        <v>2014</v>
      </c>
      <c r="D129" s="6" t="s">
        <v>643</v>
      </c>
      <c r="E129" s="6" t="str">
        <f>HYPERLINK("https://www1.nyc.gov/assets/planning/download/pdf/about/cpc/110106.pdf","Open PDF")</f>
        <v>Open PDF</v>
      </c>
      <c r="F129" s="6"/>
      <c r="G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10"/>
      <c r="X129" s="6"/>
      <c r="Y129" s="6"/>
      <c r="Z129" s="6"/>
      <c r="AA129" s="6"/>
      <c r="AB129" s="6" t="s">
        <v>33</v>
      </c>
      <c r="AC129" s="6"/>
      <c r="AD129" s="6" t="s">
        <v>644</v>
      </c>
      <c r="AE129" s="6" t="s">
        <v>49</v>
      </c>
      <c r="AF129" s="6" t="s">
        <v>395</v>
      </c>
    </row>
    <row r="130" spans="1:32">
      <c r="A130" s="6" t="s">
        <v>645</v>
      </c>
      <c r="B130" s="6" t="s">
        <v>646</v>
      </c>
      <c r="C130" s="6">
        <v>1997</v>
      </c>
      <c r="D130" s="6" t="s">
        <v>647</v>
      </c>
      <c r="E130" s="6" t="str">
        <f>HYPERLINK("https://www1.nyc.gov/assets/planning/download/pdf/about/cpc/960576.pdf","Open PDF")</f>
        <v>Open PDF</v>
      </c>
      <c r="F130" s="6"/>
      <c r="G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10"/>
      <c r="X130" s="6"/>
      <c r="Y130" s="6"/>
      <c r="Z130" s="6"/>
      <c r="AA130" s="6"/>
      <c r="AB130" s="6" t="s">
        <v>33</v>
      </c>
      <c r="AC130" s="6"/>
      <c r="AD130" s="6" t="s">
        <v>648</v>
      </c>
      <c r="AE130" s="6" t="s">
        <v>49</v>
      </c>
      <c r="AF130" s="6" t="s">
        <v>286</v>
      </c>
    </row>
    <row r="131" spans="1:32">
      <c r="A131" s="6" t="s">
        <v>649</v>
      </c>
      <c r="B131" s="6" t="s">
        <v>650</v>
      </c>
      <c r="C131" s="6">
        <v>1977</v>
      </c>
      <c r="D131" s="6" t="s">
        <v>651</v>
      </c>
      <c r="E131" s="6" t="str">
        <f>HYPERLINK("https://www1.nyc.gov/assets/planning/download/pdf/about/cpc/770196.pdf","Open PDF")</f>
        <v>Open PDF</v>
      </c>
      <c r="F131" s="6"/>
      <c r="G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10"/>
      <c r="X131" s="6"/>
      <c r="Y131" s="6"/>
      <c r="Z131" s="6"/>
      <c r="AA131" s="6"/>
      <c r="AB131" s="6" t="s">
        <v>46</v>
      </c>
      <c r="AC131" s="6" t="s">
        <v>652</v>
      </c>
      <c r="AD131" s="6" t="s">
        <v>653</v>
      </c>
      <c r="AE131" s="6" t="s">
        <v>35</v>
      </c>
      <c r="AF131" s="6" t="s">
        <v>112</v>
      </c>
    </row>
    <row r="132" spans="1:32">
      <c r="A132" s="6" t="s">
        <v>654</v>
      </c>
      <c r="B132" s="6" t="s">
        <v>655</v>
      </c>
      <c r="C132" s="6">
        <v>2001</v>
      </c>
      <c r="D132" s="6" t="s">
        <v>656</v>
      </c>
      <c r="E132" s="6" t="str">
        <f>HYPERLINK("https://www1.nyc.gov/assets/planning/download/pdf/about/cpc/010555.pdf","Open PDF")</f>
        <v>Open PDF</v>
      </c>
      <c r="F132" s="6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10"/>
      <c r="X132" s="6"/>
      <c r="Y132" s="6"/>
      <c r="Z132" s="6"/>
      <c r="AA132" s="6"/>
      <c r="AB132" s="6" t="s">
        <v>33</v>
      </c>
      <c r="AC132" s="6"/>
      <c r="AD132" s="6" t="s">
        <v>657</v>
      </c>
      <c r="AE132" s="6" t="s">
        <v>41</v>
      </c>
      <c r="AF132" s="6" t="s">
        <v>343</v>
      </c>
    </row>
    <row r="133" spans="1:32">
      <c r="A133" s="6" t="s">
        <v>658</v>
      </c>
      <c r="B133" s="6" t="s">
        <v>659</v>
      </c>
      <c r="C133" s="6">
        <v>1978</v>
      </c>
      <c r="D133" s="6" t="s">
        <v>660</v>
      </c>
      <c r="E133" s="6" t="str">
        <f>HYPERLINK("https://www1.nyc.gov/assets/planning/download/pdf/about/cpc/780201.pdf","Open PDF")</f>
        <v>Open PDF</v>
      </c>
      <c r="F133" s="6"/>
      <c r="G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10"/>
      <c r="X133" s="6"/>
      <c r="Y133" s="6"/>
      <c r="Z133" s="6"/>
      <c r="AA133" s="6"/>
      <c r="AB133" s="6" t="s">
        <v>46</v>
      </c>
      <c r="AC133" s="6" t="s">
        <v>661</v>
      </c>
      <c r="AD133" s="6" t="s">
        <v>662</v>
      </c>
      <c r="AE133" s="6" t="s">
        <v>35</v>
      </c>
      <c r="AF133" s="6" t="s">
        <v>100</v>
      </c>
    </row>
    <row r="134" spans="1:32">
      <c r="A134" s="6" t="s">
        <v>663</v>
      </c>
      <c r="B134" s="6" t="s">
        <v>664</v>
      </c>
      <c r="C134" s="6">
        <v>2006</v>
      </c>
      <c r="D134" s="6" t="s">
        <v>665</v>
      </c>
      <c r="E134" s="6" t="str">
        <f>HYPERLINK("https://www1.nyc.gov/assets/planning/download/pdf/about/cpc/060111.pdf","Open PDF")</f>
        <v>Open PDF</v>
      </c>
      <c r="F134" s="6"/>
      <c r="G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10"/>
      <c r="X134" s="6"/>
      <c r="Y134" s="6"/>
      <c r="Z134" s="6"/>
      <c r="AA134" s="6"/>
      <c r="AB134" s="6" t="s">
        <v>33</v>
      </c>
      <c r="AC134" s="6"/>
      <c r="AD134" s="6" t="s">
        <v>666</v>
      </c>
      <c r="AE134" s="6" t="s">
        <v>41</v>
      </c>
      <c r="AF134" s="6" t="s">
        <v>117</v>
      </c>
    </row>
    <row r="135" spans="1:32">
      <c r="A135" s="6" t="s">
        <v>667</v>
      </c>
      <c r="B135" s="6" t="s">
        <v>668</v>
      </c>
      <c r="C135" s="6">
        <v>2020</v>
      </c>
      <c r="D135" s="6" t="s">
        <v>669</v>
      </c>
      <c r="E135" s="6" t="str">
        <f>HYPERLINK("https://www1.nyc.gov/assets/planning/download/pdf/about/cpc/190453.pdf","Open PDF")</f>
        <v>Open PDF</v>
      </c>
      <c r="F135" s="6"/>
      <c r="G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10"/>
      <c r="X135" s="6"/>
      <c r="Y135" s="6"/>
      <c r="Z135" s="6"/>
      <c r="AA135" s="6"/>
      <c r="AB135" s="6" t="s">
        <v>33</v>
      </c>
      <c r="AC135" s="6"/>
      <c r="AD135" s="6" t="s">
        <v>670</v>
      </c>
      <c r="AE135" s="6" t="s">
        <v>188</v>
      </c>
      <c r="AF135" s="6" t="s">
        <v>210</v>
      </c>
    </row>
    <row r="136" spans="1:32">
      <c r="A136" s="6" t="s">
        <v>671</v>
      </c>
      <c r="B136" s="6" t="s">
        <v>672</v>
      </c>
      <c r="C136" s="6">
        <v>2018</v>
      </c>
      <c r="D136" s="6" t="s">
        <v>673</v>
      </c>
      <c r="E136" s="6" t="str">
        <f>HYPERLINK("https://www1.nyc.gov/assets/planning/download/pdf/about/cpc/180346.pdf","Open PDF")</f>
        <v>Open PDF</v>
      </c>
      <c r="F136" s="6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10"/>
      <c r="X136" s="6"/>
      <c r="Y136" s="6"/>
      <c r="Z136" s="6"/>
      <c r="AA136" s="6"/>
      <c r="AB136" s="6" t="s">
        <v>46</v>
      </c>
      <c r="AC136" s="6" t="s">
        <v>674</v>
      </c>
      <c r="AD136" s="6" t="s">
        <v>675</v>
      </c>
      <c r="AE136" s="6" t="s">
        <v>436</v>
      </c>
      <c r="AF136" s="6" t="s">
        <v>80</v>
      </c>
    </row>
    <row r="137" spans="1:32">
      <c r="A137" s="6" t="s">
        <v>676</v>
      </c>
      <c r="B137" s="6" t="s">
        <v>677</v>
      </c>
      <c r="C137" s="6">
        <v>1991</v>
      </c>
      <c r="D137" s="6" t="s">
        <v>678</v>
      </c>
      <c r="E137" s="6" t="str">
        <f>HYPERLINK("https://www1.nyc.gov/assets/planning/download/pdf/about/cpc/900609.pdf","Open PDF")</f>
        <v>Open PDF</v>
      </c>
      <c r="F137" s="6"/>
      <c r="G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10"/>
      <c r="X137" s="6"/>
      <c r="Y137" s="6"/>
      <c r="Z137" s="6"/>
      <c r="AA137" s="6"/>
      <c r="AB137" s="6" t="s">
        <v>33</v>
      </c>
      <c r="AC137" s="6"/>
      <c r="AD137" s="6" t="s">
        <v>679</v>
      </c>
      <c r="AE137" s="6" t="s">
        <v>49</v>
      </c>
      <c r="AF137" s="6" t="s">
        <v>395</v>
      </c>
    </row>
    <row r="138" spans="1:32">
      <c r="A138" s="6" t="s">
        <v>680</v>
      </c>
      <c r="B138" s="6" t="s">
        <v>681</v>
      </c>
      <c r="C138" s="6">
        <v>2019</v>
      </c>
      <c r="D138" s="6" t="s">
        <v>682</v>
      </c>
      <c r="E138" s="6" t="str">
        <f>HYPERLINK("https://www1.nyc.gov/assets/planning/download/pdf/about/cpc/190072.pdf","Open PDF")</f>
        <v>Open PDF</v>
      </c>
      <c r="F138" s="6"/>
      <c r="G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10"/>
      <c r="X138" s="6"/>
      <c r="Y138" s="6"/>
      <c r="Z138" s="6"/>
      <c r="AA138" s="6"/>
      <c r="AB138" s="6" t="s">
        <v>46</v>
      </c>
      <c r="AC138" s="6" t="s">
        <v>683</v>
      </c>
      <c r="AD138" s="6" t="s">
        <v>684</v>
      </c>
      <c r="AE138" s="6" t="s">
        <v>41</v>
      </c>
      <c r="AF138" s="6" t="s">
        <v>75</v>
      </c>
    </row>
    <row r="139" spans="1:32">
      <c r="A139" s="6" t="s">
        <v>685</v>
      </c>
      <c r="B139" s="6" t="s">
        <v>686</v>
      </c>
      <c r="C139" s="6">
        <v>1998</v>
      </c>
      <c r="D139" s="6" t="s">
        <v>687</v>
      </c>
      <c r="E139" s="6" t="str">
        <f>HYPERLINK("https://www1.nyc.gov/assets/planning/download/pdf/about/cpc/940196.pdf","Open PDF")</f>
        <v>Open PDF</v>
      </c>
      <c r="F139" s="6"/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10"/>
      <c r="X139" s="6"/>
      <c r="Y139" s="6"/>
      <c r="Z139" s="6"/>
      <c r="AA139" s="6"/>
      <c r="AB139" s="6" t="s">
        <v>33</v>
      </c>
      <c r="AC139" s="6"/>
      <c r="AD139" s="6" t="s">
        <v>688</v>
      </c>
      <c r="AE139" s="6" t="s">
        <v>67</v>
      </c>
      <c r="AF139" s="6" t="s">
        <v>137</v>
      </c>
    </row>
    <row r="140" spans="1:32">
      <c r="A140" s="6" t="s">
        <v>689</v>
      </c>
      <c r="B140" s="6" t="s">
        <v>690</v>
      </c>
      <c r="C140" s="6">
        <v>1997</v>
      </c>
      <c r="D140" s="6" t="s">
        <v>691</v>
      </c>
      <c r="E140" s="6" t="str">
        <f>HYPERLINK("https://www1.nyc.gov/assets/planning/download/pdf/about/cpc/970768.pdf","Open PDF")</f>
        <v>Open PDF</v>
      </c>
      <c r="F140" s="6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10"/>
      <c r="X140" s="6"/>
      <c r="Y140" s="6"/>
      <c r="Z140" s="6"/>
      <c r="AA140" s="6"/>
      <c r="AB140" s="6" t="s">
        <v>33</v>
      </c>
      <c r="AC140" s="6"/>
      <c r="AD140" s="6" t="s">
        <v>692</v>
      </c>
      <c r="AE140" s="6" t="s">
        <v>188</v>
      </c>
      <c r="AF140" s="6" t="s">
        <v>148</v>
      </c>
    </row>
    <row r="141" spans="1:32">
      <c r="A141" s="6" t="s">
        <v>693</v>
      </c>
      <c r="B141" s="6" t="s">
        <v>694</v>
      </c>
      <c r="C141" s="6">
        <v>1982</v>
      </c>
      <c r="D141" s="6" t="s">
        <v>695</v>
      </c>
      <c r="E141" s="6" t="str">
        <f>HYPERLINK("https://www1.nyc.gov/assets/planning/download/pdf/about/cpc/820751.pdf","Open PDF")</f>
        <v>Open PDF</v>
      </c>
      <c r="F141" s="6"/>
      <c r="G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10"/>
      <c r="X141" s="6"/>
      <c r="Y141" s="6"/>
      <c r="Z141" s="6"/>
      <c r="AA141" s="6"/>
      <c r="AB141" s="6" t="s">
        <v>33</v>
      </c>
      <c r="AC141" s="6"/>
      <c r="AD141" s="6" t="s">
        <v>696</v>
      </c>
      <c r="AE141" s="6" t="s">
        <v>35</v>
      </c>
      <c r="AF141" s="6" t="s">
        <v>36</v>
      </c>
    </row>
    <row r="142" spans="1:32">
      <c r="A142" s="6" t="s">
        <v>697</v>
      </c>
      <c r="B142" s="6" t="s">
        <v>206</v>
      </c>
      <c r="C142" s="6">
        <v>1995</v>
      </c>
      <c r="D142" s="6" t="s">
        <v>698</v>
      </c>
      <c r="E142" s="6" t="str">
        <f>HYPERLINK("https://www1.nyc.gov/assets/planning/download/pdf/about/cpc/940667.pdf","Open PDF")</f>
        <v>Open PDF</v>
      </c>
      <c r="F142" s="6"/>
      <c r="G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10"/>
      <c r="X142" s="6"/>
      <c r="Y142" s="6"/>
      <c r="Z142" s="6"/>
      <c r="AA142" s="6"/>
      <c r="AB142" s="6" t="s">
        <v>46</v>
      </c>
      <c r="AC142" s="6" t="s">
        <v>699</v>
      </c>
      <c r="AD142" s="6" t="s">
        <v>700</v>
      </c>
      <c r="AE142" s="6" t="s">
        <v>74</v>
      </c>
      <c r="AF142" s="6" t="s">
        <v>189</v>
      </c>
    </row>
    <row r="143" spans="1:32">
      <c r="A143" s="6" t="s">
        <v>701</v>
      </c>
      <c r="B143" s="6" t="s">
        <v>702</v>
      </c>
      <c r="C143" s="6">
        <v>2011</v>
      </c>
      <c r="D143" s="6" t="s">
        <v>703</v>
      </c>
      <c r="E143" s="6" t="str">
        <f>HYPERLINK("https://www1.nyc.gov/assets/planning/download/pdf/about/cpc/110047.pdf","Open PDF")</f>
        <v>Open PDF</v>
      </c>
      <c r="F143" s="6"/>
      <c r="G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0"/>
      <c r="X143" s="6"/>
      <c r="Y143" s="6"/>
      <c r="Z143" s="6"/>
      <c r="AA143" s="6"/>
      <c r="AB143" s="6" t="s">
        <v>33</v>
      </c>
      <c r="AC143" s="6"/>
      <c r="AD143" s="6" t="s">
        <v>704</v>
      </c>
      <c r="AE143" s="6" t="s">
        <v>49</v>
      </c>
      <c r="AF143" s="6" t="s">
        <v>705</v>
      </c>
    </row>
    <row r="144" spans="1:32">
      <c r="A144" s="6" t="s">
        <v>706</v>
      </c>
      <c r="B144" s="6" t="s">
        <v>707</v>
      </c>
      <c r="C144" s="6">
        <v>2018</v>
      </c>
      <c r="D144" s="6" t="s">
        <v>708</v>
      </c>
      <c r="E144" s="6" t="str">
        <f>HYPERLINK("https://www1.nyc.gov/assets/planning/download/pdf/about/cpc/180085.pdf","Open PDF")</f>
        <v>Open PDF</v>
      </c>
      <c r="F144" s="6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10"/>
      <c r="X144" s="6"/>
      <c r="Y144" s="6"/>
      <c r="Z144" s="6"/>
      <c r="AA144" s="6"/>
      <c r="AB144" s="6" t="s">
        <v>33</v>
      </c>
      <c r="AC144" s="6"/>
      <c r="AD144" s="6" t="s">
        <v>709</v>
      </c>
      <c r="AE144" s="6" t="s">
        <v>49</v>
      </c>
      <c r="AF144" s="6" t="s">
        <v>470</v>
      </c>
    </row>
    <row r="145" spans="1:32">
      <c r="A145" s="6" t="s">
        <v>710</v>
      </c>
      <c r="B145" s="6" t="s">
        <v>711</v>
      </c>
      <c r="C145" s="6">
        <v>1982</v>
      </c>
      <c r="D145" s="6" t="s">
        <v>712</v>
      </c>
      <c r="E145" s="6" t="str">
        <f>HYPERLINK("https://www1.nyc.gov/assets/planning/download/pdf/about/cpc/820759.pdf","Open PDF")</f>
        <v>Open PDF</v>
      </c>
      <c r="F145" s="6"/>
      <c r="G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10"/>
      <c r="X145" s="6"/>
      <c r="Y145" s="6"/>
      <c r="Z145" s="6"/>
      <c r="AA145" s="6"/>
      <c r="AB145" s="6" t="s">
        <v>33</v>
      </c>
      <c r="AC145" s="6"/>
      <c r="AD145" s="6" t="s">
        <v>713</v>
      </c>
      <c r="AE145" s="6" t="s">
        <v>188</v>
      </c>
      <c r="AF145" s="6" t="s">
        <v>316</v>
      </c>
    </row>
    <row r="146" spans="1:32">
      <c r="A146" s="6" t="s">
        <v>714</v>
      </c>
      <c r="B146" s="6" t="s">
        <v>715</v>
      </c>
      <c r="C146" s="6">
        <v>2012</v>
      </c>
      <c r="D146" s="6" t="s">
        <v>716</v>
      </c>
      <c r="E146" s="6" t="str">
        <f>HYPERLINK("https://www1.nyc.gov/assets/planning/download/pdf/about/cpc/100149.pdf","Open PDF")</f>
        <v>Open PDF</v>
      </c>
      <c r="F146" s="6"/>
      <c r="G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10"/>
      <c r="X146" s="6"/>
      <c r="Y146" s="6"/>
      <c r="Z146" s="6"/>
      <c r="AA146" s="6"/>
      <c r="AB146" s="6" t="s">
        <v>33</v>
      </c>
      <c r="AC146" s="6"/>
      <c r="AD146" s="6" t="s">
        <v>717</v>
      </c>
      <c r="AE146" s="6" t="s">
        <v>41</v>
      </c>
      <c r="AF146" s="6" t="s">
        <v>273</v>
      </c>
    </row>
    <row r="147" spans="1:32">
      <c r="A147" s="6" t="s">
        <v>718</v>
      </c>
      <c r="B147" s="6" t="s">
        <v>719</v>
      </c>
      <c r="C147" s="6">
        <v>1982</v>
      </c>
      <c r="D147" s="6" t="s">
        <v>720</v>
      </c>
      <c r="E147" s="6" t="str">
        <f>HYPERLINK("https://www1.nyc.gov/assets/planning/download/pdf/about/cpc/820537.pdf","Open PDF")</f>
        <v>Open PDF</v>
      </c>
      <c r="F147" s="6"/>
      <c r="G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10"/>
      <c r="X147" s="6"/>
      <c r="Y147" s="6"/>
      <c r="Z147" s="6"/>
      <c r="AA147" s="6"/>
      <c r="AB147" s="6" t="s">
        <v>46</v>
      </c>
      <c r="AC147" s="6" t="s">
        <v>721</v>
      </c>
      <c r="AD147" s="6" t="s">
        <v>722</v>
      </c>
      <c r="AE147" s="6" t="s">
        <v>142</v>
      </c>
      <c r="AF147" s="6" t="s">
        <v>122</v>
      </c>
    </row>
    <row r="148" spans="1:32">
      <c r="A148" s="6" t="s">
        <v>723</v>
      </c>
      <c r="B148" s="6" t="s">
        <v>724</v>
      </c>
      <c r="C148" s="6">
        <v>1979</v>
      </c>
      <c r="D148" s="6" t="s">
        <v>725</v>
      </c>
      <c r="E148" s="6" t="str">
        <f>HYPERLINK("https://www1.nyc.gov/assets/planning/download/pdf/about/cpc/780413.pdf","Open PDF")</f>
        <v>Open PDF</v>
      </c>
      <c r="F148" s="6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10"/>
      <c r="X148" s="6"/>
      <c r="Y148" s="6"/>
      <c r="Z148" s="6"/>
      <c r="AA148" s="6"/>
      <c r="AB148" s="6" t="s">
        <v>46</v>
      </c>
      <c r="AC148" s="6" t="s">
        <v>726</v>
      </c>
      <c r="AD148" s="6" t="s">
        <v>727</v>
      </c>
      <c r="AE148" s="6" t="s">
        <v>272</v>
      </c>
      <c r="AF148" s="6" t="s">
        <v>122</v>
      </c>
    </row>
    <row r="149" spans="1:32">
      <c r="A149" s="6" t="s">
        <v>728</v>
      </c>
      <c r="B149" s="6" t="s">
        <v>729</v>
      </c>
      <c r="C149" s="6">
        <v>2003</v>
      </c>
      <c r="D149" s="6" t="s">
        <v>730</v>
      </c>
      <c r="E149" s="6" t="str">
        <f>HYPERLINK("https://www1.nyc.gov/assets/planning/download/pdf/about/cpc/030300.pdf","Open PDF")</f>
        <v>Open PDF</v>
      </c>
      <c r="F149" s="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10"/>
      <c r="X149" s="6"/>
      <c r="Y149" s="6"/>
      <c r="Z149" s="6"/>
      <c r="AA149" s="6"/>
      <c r="AB149" s="6" t="s">
        <v>46</v>
      </c>
      <c r="AC149" s="6" t="s">
        <v>731</v>
      </c>
      <c r="AD149" s="6" t="s">
        <v>732</v>
      </c>
      <c r="AE149" s="6" t="s">
        <v>49</v>
      </c>
      <c r="AF149" s="6" t="s">
        <v>210</v>
      </c>
    </row>
    <row r="150" spans="1:32">
      <c r="A150" s="6" t="s">
        <v>733</v>
      </c>
      <c r="B150" s="6" t="s">
        <v>734</v>
      </c>
      <c r="C150" s="6">
        <v>1981</v>
      </c>
      <c r="D150" s="6" t="s">
        <v>735</v>
      </c>
      <c r="E150" s="6" t="str">
        <f>HYPERLINK("https://www1.nyc.gov/assets/planning/download/pdf/about/cpc/820071.pdf","Open PDF")</f>
        <v>Open PDF</v>
      </c>
      <c r="F150" s="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10"/>
      <c r="X150" s="6"/>
      <c r="Y150" s="6"/>
      <c r="Z150" s="6"/>
      <c r="AA150" s="6"/>
      <c r="AB150" s="6" t="s">
        <v>33</v>
      </c>
      <c r="AC150" s="6"/>
      <c r="AD150" s="6" t="s">
        <v>736</v>
      </c>
      <c r="AE150" s="6" t="s">
        <v>74</v>
      </c>
      <c r="AF150" s="6" t="s">
        <v>85</v>
      </c>
    </row>
    <row r="151" spans="1:32">
      <c r="A151" s="6" t="s">
        <v>737</v>
      </c>
      <c r="B151" s="6" t="s">
        <v>206</v>
      </c>
      <c r="C151" s="6">
        <v>1993</v>
      </c>
      <c r="D151" s="6" t="s">
        <v>738</v>
      </c>
      <c r="E151" s="6" t="str">
        <f>HYPERLINK("https://www1.nyc.gov/assets/planning/download/pdf/about/cpc/930086.pdf","Open PDF")</f>
        <v>Open PDF</v>
      </c>
      <c r="F151" s="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10"/>
      <c r="X151" s="6"/>
      <c r="Y151" s="6"/>
      <c r="Z151" s="6"/>
      <c r="AA151" s="6"/>
      <c r="AB151" s="6" t="s">
        <v>33</v>
      </c>
      <c r="AC151" s="6"/>
      <c r="AD151" s="6" t="s">
        <v>739</v>
      </c>
      <c r="AE151" s="6" t="s">
        <v>74</v>
      </c>
      <c r="AF151" s="6" t="s">
        <v>112</v>
      </c>
    </row>
    <row r="152" spans="1:32">
      <c r="A152" s="6" t="s">
        <v>740</v>
      </c>
      <c r="B152" s="6" t="s">
        <v>741</v>
      </c>
      <c r="C152" s="6">
        <v>2001</v>
      </c>
      <c r="D152" s="6" t="s">
        <v>742</v>
      </c>
      <c r="E152" s="6" t="str">
        <f>HYPERLINK("https://www1.nyc.gov/assets/planning/download/pdf/about/cpc/000560.pdf","Open PDF")</f>
        <v>Open PDF</v>
      </c>
      <c r="F152" s="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10"/>
      <c r="X152" s="6"/>
      <c r="Y152" s="6"/>
      <c r="Z152" s="6"/>
      <c r="AA152" s="6"/>
      <c r="AB152" s="6" t="s">
        <v>33</v>
      </c>
      <c r="AC152" s="6"/>
      <c r="AD152" s="6" t="s">
        <v>743</v>
      </c>
      <c r="AE152" s="6" t="s">
        <v>249</v>
      </c>
      <c r="AF152" s="6" t="s">
        <v>343</v>
      </c>
    </row>
    <row r="153" spans="1:32">
      <c r="A153" s="6" t="s">
        <v>744</v>
      </c>
      <c r="B153" s="6" t="s">
        <v>745</v>
      </c>
      <c r="C153" s="6">
        <v>1992</v>
      </c>
      <c r="D153" s="6" t="s">
        <v>746</v>
      </c>
      <c r="E153" s="6" t="str">
        <f>HYPERLINK("https://www1.nyc.gov/assets/planning/download/pdf/about/cpc/910337.pdf","Open PDF")</f>
        <v>Open PDF</v>
      </c>
      <c r="F153" s="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10"/>
      <c r="X153" s="6"/>
      <c r="Y153" s="6"/>
      <c r="Z153" s="6"/>
      <c r="AA153" s="6"/>
      <c r="AB153" s="6" t="s">
        <v>46</v>
      </c>
      <c r="AC153" s="6" t="s">
        <v>747</v>
      </c>
      <c r="AD153" s="6" t="s">
        <v>748</v>
      </c>
      <c r="AE153" s="6" t="s">
        <v>272</v>
      </c>
      <c r="AF153" s="6" t="s">
        <v>148</v>
      </c>
    </row>
    <row r="154" spans="1:32">
      <c r="A154" s="6" t="s">
        <v>749</v>
      </c>
      <c r="B154" s="6" t="s">
        <v>750</v>
      </c>
      <c r="C154" s="6">
        <v>2024</v>
      </c>
      <c r="D154" s="6" t="s">
        <v>751</v>
      </c>
      <c r="E154" s="6" t="str">
        <f>HYPERLINK("https://www1.nyc.gov/assets/planning/download/pdf/about/cpc/240369.pdf","Open PDF")</f>
        <v>Open PDF</v>
      </c>
      <c r="F154" s="6"/>
      <c r="G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10"/>
      <c r="X154" s="6"/>
      <c r="Y154" s="6"/>
      <c r="Z154" s="6"/>
      <c r="AA154" s="6"/>
      <c r="AB154" s="6" t="s">
        <v>46</v>
      </c>
      <c r="AC154" s="6" t="s">
        <v>752</v>
      </c>
      <c r="AD154" s="6" t="s">
        <v>753</v>
      </c>
      <c r="AE154" s="6" t="s">
        <v>49</v>
      </c>
      <c r="AF154" s="6" t="s">
        <v>754</v>
      </c>
    </row>
    <row r="155" spans="1:32">
      <c r="A155" s="6" t="s">
        <v>755</v>
      </c>
      <c r="B155" s="6" t="s">
        <v>756</v>
      </c>
      <c r="C155" s="6">
        <v>2024</v>
      </c>
      <c r="D155" s="6" t="s">
        <v>757</v>
      </c>
      <c r="E155" s="6" t="str">
        <f>HYPERLINK("https://www1.nyc.gov/assets/planning/download/pdf/about/cpc/230351.pdf","Open PDF")</f>
        <v>Open PDF</v>
      </c>
      <c r="F155" s="6"/>
      <c r="G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10"/>
      <c r="X155" s="6"/>
      <c r="Y155" s="6"/>
      <c r="Z155" s="6"/>
      <c r="AA155" s="6"/>
      <c r="AB155" s="6" t="s">
        <v>33</v>
      </c>
      <c r="AC155" s="6"/>
      <c r="AD155" s="6" t="s">
        <v>758</v>
      </c>
      <c r="AE155" s="6" t="s">
        <v>49</v>
      </c>
      <c r="AF155" s="6" t="s">
        <v>618</v>
      </c>
    </row>
    <row r="156" spans="1:32">
      <c r="A156" s="6" t="s">
        <v>759</v>
      </c>
      <c r="B156" s="6" t="s">
        <v>206</v>
      </c>
      <c r="C156" s="6">
        <v>1988</v>
      </c>
      <c r="D156" s="6" t="s">
        <v>760</v>
      </c>
      <c r="E156" s="6" t="str">
        <f>HYPERLINK("https://www1.nyc.gov/assets/planning/download/pdf/about/cpc/880076.pdf","Open PDF")</f>
        <v>Open PDF</v>
      </c>
      <c r="F156" s="6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10"/>
      <c r="X156" s="6"/>
      <c r="Y156" s="6"/>
      <c r="Z156" s="6"/>
      <c r="AA156" s="6"/>
      <c r="AB156" s="6" t="s">
        <v>33</v>
      </c>
      <c r="AC156" s="6"/>
      <c r="AD156" s="6" t="s">
        <v>761</v>
      </c>
      <c r="AE156" s="6" t="s">
        <v>74</v>
      </c>
      <c r="AF156" s="6" t="s">
        <v>85</v>
      </c>
    </row>
    <row r="157" spans="1:32">
      <c r="A157" s="6" t="s">
        <v>762</v>
      </c>
      <c r="B157" s="6" t="s">
        <v>763</v>
      </c>
      <c r="C157" s="6">
        <v>2012</v>
      </c>
      <c r="D157" s="6" t="s">
        <v>764</v>
      </c>
      <c r="E157" s="6" t="str">
        <f>HYPERLINK("https://www1.nyc.gov/assets/planning/download/pdf/about/cpc/120172.pdf","Open PDF")</f>
        <v>Open PDF</v>
      </c>
      <c r="F157" s="6"/>
      <c r="G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10"/>
      <c r="X157" s="6"/>
      <c r="Y157" s="6"/>
      <c r="Z157" s="6"/>
      <c r="AA157" s="6"/>
      <c r="AB157" s="6" t="s">
        <v>33</v>
      </c>
      <c r="AC157" s="6"/>
      <c r="AD157" s="6" t="s">
        <v>765</v>
      </c>
      <c r="AE157" s="6" t="s">
        <v>41</v>
      </c>
      <c r="AF157" s="6" t="s">
        <v>36</v>
      </c>
    </row>
    <row r="158" spans="1:32">
      <c r="A158" s="6" t="s">
        <v>766</v>
      </c>
      <c r="B158" s="6" t="s">
        <v>767</v>
      </c>
      <c r="C158" s="6">
        <v>2025</v>
      </c>
      <c r="D158" s="6" t="s">
        <v>768</v>
      </c>
      <c r="E158" s="6" t="str">
        <f>HYPERLINK("https://www1.nyc.gov/assets/planning/download/pdf/about/cpc/250056.pdf","Open PDF")</f>
        <v>Open PDF</v>
      </c>
      <c r="F158" s="6"/>
      <c r="G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10"/>
      <c r="X158" s="6"/>
      <c r="Y158" s="6"/>
      <c r="Z158" s="6"/>
      <c r="AA158" s="6"/>
      <c r="AB158" s="6" t="s">
        <v>33</v>
      </c>
      <c r="AC158" s="6"/>
      <c r="AD158" s="6" t="s">
        <v>769</v>
      </c>
      <c r="AE158" s="6" t="s">
        <v>49</v>
      </c>
      <c r="AF158" s="6" t="s">
        <v>100</v>
      </c>
    </row>
    <row r="159" spans="1:32">
      <c r="A159" s="6" t="s">
        <v>770</v>
      </c>
      <c r="B159" s="6" t="s">
        <v>771</v>
      </c>
      <c r="C159" s="6">
        <v>2000</v>
      </c>
      <c r="D159" s="6" t="s">
        <v>772</v>
      </c>
      <c r="E159" s="6" t="str">
        <f>HYPERLINK("https://www1.nyc.gov/assets/planning/download/pdf/about/cpc/970372.pdf","Open PDF")</f>
        <v>Open PDF</v>
      </c>
      <c r="F159" s="6"/>
      <c r="G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10"/>
      <c r="X159" s="6"/>
      <c r="Y159" s="6"/>
      <c r="Z159" s="6"/>
      <c r="AA159" s="6"/>
      <c r="AB159" s="6" t="s">
        <v>46</v>
      </c>
      <c r="AC159" s="6" t="s">
        <v>773</v>
      </c>
      <c r="AD159" s="6" t="s">
        <v>774</v>
      </c>
      <c r="AE159" s="6" t="s">
        <v>142</v>
      </c>
      <c r="AF159" s="6" t="s">
        <v>122</v>
      </c>
    </row>
    <row r="160" spans="1:32">
      <c r="A160" s="6" t="s">
        <v>775</v>
      </c>
      <c r="B160" s="6" t="s">
        <v>776</v>
      </c>
      <c r="C160" s="6">
        <v>1985</v>
      </c>
      <c r="D160" s="6" t="s">
        <v>777</v>
      </c>
      <c r="E160" s="6" t="str">
        <f>HYPERLINK("https://www1.nyc.gov/assets/planning/download/pdf/about/cpc/840020.pdf","Open PDF")</f>
        <v>Open PDF</v>
      </c>
      <c r="F160" s="6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10"/>
      <c r="X160" s="6"/>
      <c r="Y160" s="6"/>
      <c r="Z160" s="6"/>
      <c r="AA160" s="6"/>
      <c r="AB160" s="6" t="s">
        <v>33</v>
      </c>
      <c r="AC160" s="6"/>
      <c r="AD160" s="6" t="s">
        <v>778</v>
      </c>
      <c r="AE160" s="6" t="s">
        <v>779</v>
      </c>
      <c r="AF160" s="6" t="s">
        <v>780</v>
      </c>
    </row>
    <row r="161" spans="1:32">
      <c r="A161" s="6" t="s">
        <v>781</v>
      </c>
      <c r="B161" s="6" t="s">
        <v>782</v>
      </c>
      <c r="C161" s="6">
        <v>1987</v>
      </c>
      <c r="D161" s="6" t="s">
        <v>783</v>
      </c>
      <c r="E161" s="6" t="str">
        <f>HYPERLINK("https://www1.nyc.gov/assets/planning/download/pdf/about/cpc/840875.pdf","Open PDF")</f>
        <v>Open PDF</v>
      </c>
      <c r="F161" s="6"/>
      <c r="G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10"/>
      <c r="X161" s="6"/>
      <c r="Y161" s="6"/>
      <c r="Z161" s="6"/>
      <c r="AA161" s="6"/>
      <c r="AB161" s="6" t="s">
        <v>33</v>
      </c>
      <c r="AC161" s="6"/>
      <c r="AD161" s="6" t="s">
        <v>784</v>
      </c>
      <c r="AE161" s="6" t="s">
        <v>41</v>
      </c>
      <c r="AF161" s="6" t="s">
        <v>112</v>
      </c>
    </row>
    <row r="162" spans="1:32">
      <c r="A162" s="6" t="s">
        <v>785</v>
      </c>
      <c r="B162" s="6" t="s">
        <v>786</v>
      </c>
      <c r="C162" s="6">
        <v>2016</v>
      </c>
      <c r="D162" s="6" t="s">
        <v>787</v>
      </c>
      <c r="E162" s="6" t="str">
        <f>HYPERLINK("https://www1.nyc.gov/assets/planning/download/pdf/about/cpc/160249.pdf","Open PDF")</f>
        <v>Open PDF</v>
      </c>
      <c r="F162" s="6"/>
      <c r="G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10"/>
      <c r="X162" s="6"/>
      <c r="Y162" s="6"/>
      <c r="Z162" s="6"/>
      <c r="AA162" s="6"/>
      <c r="AB162" s="6" t="s">
        <v>46</v>
      </c>
      <c r="AC162" s="6" t="s">
        <v>788</v>
      </c>
      <c r="AD162" s="6" t="s">
        <v>789</v>
      </c>
      <c r="AE162" s="6" t="s">
        <v>249</v>
      </c>
      <c r="AF162" s="6" t="s">
        <v>250</v>
      </c>
    </row>
    <row r="163" spans="1:32">
      <c r="A163" s="6" t="s">
        <v>790</v>
      </c>
      <c r="B163" s="6" t="s">
        <v>791</v>
      </c>
      <c r="C163" s="6">
        <v>2022</v>
      </c>
      <c r="D163" s="6" t="s">
        <v>792</v>
      </c>
      <c r="E163" s="6" t="str">
        <f>HYPERLINK("https://www1.nyc.gov/assets/planning/download/pdf/about/cpc/220427.pdf","Open PDF")</f>
        <v>Open PDF</v>
      </c>
      <c r="F163" s="6"/>
      <c r="G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10"/>
      <c r="X163" s="6"/>
      <c r="Y163" s="6"/>
      <c r="Z163" s="6"/>
      <c r="AA163" s="6"/>
      <c r="AB163" s="6" t="s">
        <v>33</v>
      </c>
      <c r="AC163" s="6"/>
      <c r="AD163" s="6" t="s">
        <v>793</v>
      </c>
      <c r="AE163" s="6" t="s">
        <v>188</v>
      </c>
      <c r="AF163" s="6" t="s">
        <v>95</v>
      </c>
    </row>
    <row r="164" spans="1:32">
      <c r="A164" s="6" t="s">
        <v>794</v>
      </c>
      <c r="B164" s="6" t="s">
        <v>795</v>
      </c>
      <c r="C164" s="6">
        <v>2010</v>
      </c>
      <c r="D164" s="6" t="s">
        <v>796</v>
      </c>
      <c r="E164" s="6" t="str">
        <f>HYPERLINK("https://www1.nyc.gov/assets/planning/download/pdf/about/cpc/090367.pdf","Open PDF")</f>
        <v>Open PDF</v>
      </c>
      <c r="F164" s="6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10"/>
      <c r="X164" s="6"/>
      <c r="Y164" s="6"/>
      <c r="Z164" s="6"/>
      <c r="AA164" s="6"/>
      <c r="AB164" s="6" t="s">
        <v>33</v>
      </c>
      <c r="AC164" s="6"/>
      <c r="AD164" s="6" t="s">
        <v>797</v>
      </c>
      <c r="AE164" s="6" t="s">
        <v>41</v>
      </c>
      <c r="AF164" s="6" t="s">
        <v>117</v>
      </c>
    </row>
    <row r="165" spans="1:32">
      <c r="A165" s="6" t="s">
        <v>798</v>
      </c>
      <c r="B165" s="6" t="s">
        <v>799</v>
      </c>
      <c r="C165" s="6">
        <v>1984</v>
      </c>
      <c r="D165" s="6" t="s">
        <v>800</v>
      </c>
      <c r="E165" s="6" t="str">
        <f>HYPERLINK("https://www1.nyc.gov/assets/planning/download/pdf/about/cpc/840749.pdf","Open PDF")</f>
        <v>Open PDF</v>
      </c>
      <c r="F165" s="6"/>
      <c r="G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10"/>
      <c r="X165" s="6"/>
      <c r="Y165" s="6"/>
      <c r="Z165" s="6"/>
      <c r="AA165" s="6"/>
      <c r="AB165" s="6" t="s">
        <v>33</v>
      </c>
      <c r="AC165" s="6"/>
      <c r="AD165" s="6" t="s">
        <v>801</v>
      </c>
      <c r="AE165" s="6" t="s">
        <v>74</v>
      </c>
      <c r="AF165" s="6" t="s">
        <v>42</v>
      </c>
    </row>
    <row r="166" spans="1:32">
      <c r="A166" s="6" t="s">
        <v>802</v>
      </c>
      <c r="B166" s="6" t="s">
        <v>803</v>
      </c>
      <c r="C166" s="6">
        <v>1981</v>
      </c>
      <c r="D166" s="6" t="s">
        <v>804</v>
      </c>
      <c r="E166" s="6" t="str">
        <f>HYPERLINK("https://www1.nyc.gov/assets/planning/download/pdf/about/cpc/810498.pdf","Open PDF")</f>
        <v>Open PDF</v>
      </c>
      <c r="F166" s="6"/>
      <c r="G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10"/>
      <c r="X166" s="6"/>
      <c r="Y166" s="6"/>
      <c r="Z166" s="6"/>
      <c r="AA166" s="6"/>
      <c r="AB166" s="6" t="s">
        <v>46</v>
      </c>
      <c r="AC166" s="6" t="s">
        <v>805</v>
      </c>
      <c r="AD166" s="6" t="s">
        <v>806</v>
      </c>
      <c r="AE166" s="6" t="s">
        <v>49</v>
      </c>
      <c r="AF166" s="6" t="s">
        <v>194</v>
      </c>
    </row>
    <row r="167" spans="1:32">
      <c r="A167" s="6" t="s">
        <v>807</v>
      </c>
      <c r="B167" s="6" t="s">
        <v>808</v>
      </c>
      <c r="C167" s="6">
        <v>1995</v>
      </c>
      <c r="D167" s="6" t="s">
        <v>809</v>
      </c>
      <c r="E167" s="6" t="str">
        <f>HYPERLINK("https://www1.nyc.gov/assets/planning/download/pdf/about/cpc/940206.pdf","Open PDF")</f>
        <v>Open PDF</v>
      </c>
      <c r="F167" s="6"/>
      <c r="G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10"/>
      <c r="X167" s="6"/>
      <c r="Y167" s="6"/>
      <c r="Z167" s="6"/>
      <c r="AA167" s="6"/>
      <c r="AB167" s="6" t="s">
        <v>33</v>
      </c>
      <c r="AC167" s="6"/>
      <c r="AD167" s="6" t="s">
        <v>810</v>
      </c>
      <c r="AE167" s="6" t="s">
        <v>249</v>
      </c>
      <c r="AF167" s="6" t="s">
        <v>90</v>
      </c>
    </row>
    <row r="168" spans="1:32">
      <c r="A168" s="6" t="s">
        <v>811</v>
      </c>
      <c r="B168" s="6" t="s">
        <v>812</v>
      </c>
      <c r="C168" s="6">
        <v>2008</v>
      </c>
      <c r="D168" s="6" t="s">
        <v>813</v>
      </c>
      <c r="E168" s="6" t="str">
        <f>HYPERLINK("https://www1.nyc.gov/assets/planning/download/pdf/about/cpc/080042.pdf","Open PDF")</f>
        <v>Open PDF</v>
      </c>
      <c r="F168" s="6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10"/>
      <c r="X168" s="6"/>
      <c r="Y168" s="6"/>
      <c r="Z168" s="6"/>
      <c r="AA168" s="6"/>
      <c r="AB168" s="6" t="s">
        <v>33</v>
      </c>
      <c r="AC168" s="6"/>
      <c r="AD168" s="6" t="s">
        <v>814</v>
      </c>
      <c r="AE168" s="6" t="s">
        <v>41</v>
      </c>
      <c r="AF168" s="6" t="s">
        <v>117</v>
      </c>
    </row>
    <row r="169" spans="1:32">
      <c r="A169" s="6" t="s">
        <v>815</v>
      </c>
      <c r="B169" s="6" t="s">
        <v>816</v>
      </c>
      <c r="C169" s="6">
        <v>1978</v>
      </c>
      <c r="D169" s="6" t="s">
        <v>817</v>
      </c>
      <c r="E169" s="6" t="str">
        <f>HYPERLINK("https://www1.nyc.gov/assets/planning/download/pdf/about/cpc/770448.pdf","Open PDF")</f>
        <v>Open PDF</v>
      </c>
      <c r="F169" s="6"/>
      <c r="G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10"/>
      <c r="X169" s="6"/>
      <c r="Y169" s="6"/>
      <c r="Z169" s="6"/>
      <c r="AA169" s="6"/>
      <c r="AB169" s="6" t="s">
        <v>33</v>
      </c>
      <c r="AC169" s="6"/>
      <c r="AD169" s="6" t="s">
        <v>818</v>
      </c>
      <c r="AE169" s="6" t="s">
        <v>142</v>
      </c>
      <c r="AF169" s="6" t="s">
        <v>42</v>
      </c>
    </row>
    <row r="170" spans="1:32">
      <c r="A170" s="6" t="s">
        <v>819</v>
      </c>
      <c r="B170" s="6" t="s">
        <v>820</v>
      </c>
      <c r="C170" s="6">
        <v>2013</v>
      </c>
      <c r="D170" s="6" t="s">
        <v>821</v>
      </c>
      <c r="E170" s="6" t="str">
        <f>HYPERLINK("https://www1.nyc.gov/assets/planning/download/pdf/about/cpc/130170.pdf","Open PDF")</f>
        <v>Open PDF</v>
      </c>
      <c r="F170" s="6"/>
      <c r="G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10"/>
      <c r="X170" s="6"/>
      <c r="Y170" s="6"/>
      <c r="Z170" s="6"/>
      <c r="AA170" s="6"/>
      <c r="AB170" s="6" t="s">
        <v>46</v>
      </c>
      <c r="AC170" s="6" t="s">
        <v>822</v>
      </c>
      <c r="AD170" s="6" t="s">
        <v>823</v>
      </c>
      <c r="AE170" s="6" t="s">
        <v>49</v>
      </c>
      <c r="AF170" s="6" t="s">
        <v>824</v>
      </c>
    </row>
    <row r="171" spans="1:32">
      <c r="A171" s="6" t="s">
        <v>825</v>
      </c>
      <c r="B171" s="6" t="s">
        <v>826</v>
      </c>
      <c r="C171" s="6">
        <v>2008</v>
      </c>
      <c r="D171" s="6" t="s">
        <v>827</v>
      </c>
      <c r="E171" s="6" t="str">
        <f>HYPERLINK("https://www1.nyc.gov/assets/planning/download/pdf/about/cpc/070451.pdf","Open PDF")</f>
        <v>Open PDF</v>
      </c>
      <c r="F171" s="6"/>
      <c r="G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10"/>
      <c r="X171" s="6"/>
      <c r="Y171" s="6"/>
      <c r="Z171" s="6"/>
      <c r="AA171" s="6"/>
      <c r="AB171" s="6" t="s">
        <v>33</v>
      </c>
      <c r="AC171" s="6"/>
      <c r="AD171" s="6" t="s">
        <v>828</v>
      </c>
      <c r="AE171" s="6" t="s">
        <v>249</v>
      </c>
      <c r="AF171" s="6" t="s">
        <v>42</v>
      </c>
    </row>
    <row r="172" spans="1:32">
      <c r="A172" s="6" t="s">
        <v>829</v>
      </c>
      <c r="B172" s="6" t="s">
        <v>830</v>
      </c>
      <c r="C172" s="6">
        <v>1977</v>
      </c>
      <c r="D172" s="6" t="s">
        <v>831</v>
      </c>
      <c r="E172" s="6" t="str">
        <f>HYPERLINK("https://www1.nyc.gov/assets/planning/download/pdf/about/cpc/760006.pdf","Open PDF")</f>
        <v>Open PDF</v>
      </c>
      <c r="F172" s="6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10"/>
      <c r="X172" s="6"/>
      <c r="Y172" s="6"/>
      <c r="Z172" s="6"/>
      <c r="AA172" s="6"/>
      <c r="AB172" s="6" t="s">
        <v>33</v>
      </c>
      <c r="AC172" s="6"/>
      <c r="AD172" s="6" t="s">
        <v>832</v>
      </c>
      <c r="AE172" s="6" t="s">
        <v>67</v>
      </c>
      <c r="AF172" s="6" t="s">
        <v>239</v>
      </c>
    </row>
    <row r="173" spans="1:32">
      <c r="A173" s="6" t="s">
        <v>833</v>
      </c>
      <c r="B173" s="6" t="s">
        <v>834</v>
      </c>
      <c r="C173" s="6">
        <v>2005</v>
      </c>
      <c r="D173" s="6" t="s">
        <v>835</v>
      </c>
      <c r="E173" s="6" t="str">
        <f>HYPERLINK("https://www1.nyc.gov/assets/planning/download/pdf/about/cpc/950447.pdf","Open PDF")</f>
        <v>Open PDF</v>
      </c>
      <c r="F173" s="6"/>
      <c r="G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10"/>
      <c r="X173" s="6"/>
      <c r="Y173" s="6"/>
      <c r="Z173" s="6"/>
      <c r="AA173" s="6"/>
      <c r="AB173" s="6" t="s">
        <v>33</v>
      </c>
      <c r="AC173" s="6"/>
      <c r="AD173" s="6" t="s">
        <v>836</v>
      </c>
      <c r="AE173" s="6" t="s">
        <v>67</v>
      </c>
      <c r="AF173" s="6" t="s">
        <v>361</v>
      </c>
    </row>
    <row r="174" spans="1:32">
      <c r="A174" s="6" t="s">
        <v>837</v>
      </c>
      <c r="B174" s="6" t="s">
        <v>206</v>
      </c>
      <c r="C174" s="6">
        <v>1996</v>
      </c>
      <c r="D174" s="6" t="s">
        <v>838</v>
      </c>
      <c r="E174" s="6" t="str">
        <f>HYPERLINK("https://www1.nyc.gov/assets/planning/download/pdf/about/cpc/960573.pdf","Open PDF")</f>
        <v>Open PDF</v>
      </c>
      <c r="F174" s="6"/>
      <c r="G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10"/>
      <c r="X174" s="6"/>
      <c r="Y174" s="6"/>
      <c r="Z174" s="6"/>
      <c r="AA174" s="6"/>
      <c r="AB174" s="6" t="s">
        <v>33</v>
      </c>
      <c r="AC174" s="6"/>
      <c r="AD174" s="6" t="s">
        <v>839</v>
      </c>
      <c r="AE174" s="6" t="s">
        <v>74</v>
      </c>
      <c r="AF174" s="6" t="s">
        <v>230</v>
      </c>
    </row>
    <row r="175" spans="1:32">
      <c r="A175" s="6" t="s">
        <v>840</v>
      </c>
      <c r="B175" s="6" t="s">
        <v>841</v>
      </c>
      <c r="C175" s="6">
        <v>1998</v>
      </c>
      <c r="D175" s="6" t="s">
        <v>842</v>
      </c>
      <c r="E175" s="6" t="str">
        <f>HYPERLINK("https://www1.nyc.gov/assets/planning/download/pdf/about/cpc/980323.pdf","Open PDF")</f>
        <v>Open PDF</v>
      </c>
      <c r="F175" s="6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10"/>
      <c r="X175" s="6"/>
      <c r="Y175" s="6"/>
      <c r="Z175" s="6"/>
      <c r="AA175" s="6"/>
      <c r="AB175" s="6" t="s">
        <v>46</v>
      </c>
      <c r="AC175" s="6" t="s">
        <v>843</v>
      </c>
      <c r="AD175" s="6" t="s">
        <v>844</v>
      </c>
      <c r="AE175" s="6" t="s">
        <v>74</v>
      </c>
      <c r="AF175" s="6" t="s">
        <v>42</v>
      </c>
    </row>
    <row r="176" spans="1:32">
      <c r="A176" s="6" t="s">
        <v>845</v>
      </c>
      <c r="B176" s="6" t="s">
        <v>846</v>
      </c>
      <c r="C176" s="6">
        <v>1983</v>
      </c>
      <c r="D176" s="6" t="s">
        <v>847</v>
      </c>
      <c r="E176" s="6" t="str">
        <f>HYPERLINK("https://www1.nyc.gov/assets/planning/download/pdf/about/cpc/840027.pdf","Open PDF")</f>
        <v>Open PDF</v>
      </c>
      <c r="F176" s="6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10"/>
      <c r="X176" s="6"/>
      <c r="Y176" s="6"/>
      <c r="Z176" s="6"/>
      <c r="AA176" s="6"/>
      <c r="AB176" s="6" t="s">
        <v>46</v>
      </c>
      <c r="AC176" s="6" t="s">
        <v>848</v>
      </c>
      <c r="AD176" s="6" t="s">
        <v>849</v>
      </c>
      <c r="AE176" s="6" t="s">
        <v>188</v>
      </c>
      <c r="AF176" s="6" t="s">
        <v>850</v>
      </c>
    </row>
    <row r="177" spans="1:32">
      <c r="A177" s="6" t="s">
        <v>851</v>
      </c>
      <c r="B177" s="6" t="s">
        <v>852</v>
      </c>
      <c r="C177" s="6">
        <v>1989</v>
      </c>
      <c r="D177" s="6" t="s">
        <v>853</v>
      </c>
      <c r="E177" s="6" t="str">
        <f>HYPERLINK("https://www1.nyc.gov/assets/planning/download/pdf/about/cpc/880145.pdf","Open PDF")</f>
        <v>Open PDF</v>
      </c>
      <c r="F177" s="6"/>
      <c r="G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10"/>
      <c r="X177" s="6"/>
      <c r="Y177" s="6"/>
      <c r="Z177" s="6"/>
      <c r="AA177" s="6"/>
      <c r="AB177" s="6" t="s">
        <v>33</v>
      </c>
      <c r="AC177" s="6"/>
      <c r="AD177" s="6" t="s">
        <v>854</v>
      </c>
      <c r="AE177" s="6" t="s">
        <v>67</v>
      </c>
      <c r="AF177" s="6" t="s">
        <v>250</v>
      </c>
    </row>
    <row r="178" spans="1:32">
      <c r="A178" s="6" t="s">
        <v>855</v>
      </c>
      <c r="B178" s="6" t="s">
        <v>206</v>
      </c>
      <c r="C178" s="6">
        <v>1989</v>
      </c>
      <c r="D178" s="6" t="s">
        <v>856</v>
      </c>
      <c r="E178" s="6" t="str">
        <f>HYPERLINK("https://www1.nyc.gov/assets/planning/download/pdf/about/cpc/890960.pdf","Open PDF")</f>
        <v>Open PDF</v>
      </c>
      <c r="F178" s="6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10"/>
      <c r="X178" s="6"/>
      <c r="Y178" s="6"/>
      <c r="Z178" s="6"/>
      <c r="AA178" s="6"/>
      <c r="AB178" s="6" t="s">
        <v>33</v>
      </c>
      <c r="AC178" s="6"/>
      <c r="AD178" s="6" t="s">
        <v>857</v>
      </c>
      <c r="AE178" s="6" t="s">
        <v>74</v>
      </c>
      <c r="AF178" s="6" t="s">
        <v>95</v>
      </c>
    </row>
    <row r="179" spans="1:32">
      <c r="A179" s="6" t="s">
        <v>858</v>
      </c>
      <c r="B179" s="6" t="s">
        <v>859</v>
      </c>
      <c r="C179" s="6">
        <v>2016</v>
      </c>
      <c r="D179" s="6" t="s">
        <v>860</v>
      </c>
      <c r="E179" s="6" t="str">
        <f>HYPERLINK("https://www1.nyc.gov/assets/planning/download/pdf/about/cpc/160064.pdf","Open PDF")</f>
        <v>Open PDF</v>
      </c>
      <c r="F179" s="6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10"/>
      <c r="X179" s="6"/>
      <c r="Y179" s="6"/>
      <c r="Z179" s="6"/>
      <c r="AA179" s="6"/>
      <c r="AB179" s="6" t="s">
        <v>33</v>
      </c>
      <c r="AC179" s="6"/>
      <c r="AD179" s="6" t="s">
        <v>861</v>
      </c>
      <c r="AE179" s="6" t="s">
        <v>49</v>
      </c>
      <c r="AF179" s="6" t="s">
        <v>230</v>
      </c>
    </row>
    <row r="180" spans="1:32">
      <c r="A180" s="6" t="s">
        <v>862</v>
      </c>
      <c r="B180" s="6" t="s">
        <v>863</v>
      </c>
      <c r="C180" s="6">
        <v>1979</v>
      </c>
      <c r="D180" s="6" t="s">
        <v>864</v>
      </c>
      <c r="E180" s="6" t="str">
        <f>HYPERLINK("https://www1.nyc.gov/assets/planning/download/pdf/about/cpc/780534.pdf","Open PDF")</f>
        <v>Open PDF</v>
      </c>
      <c r="F180" s="6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10"/>
      <c r="X180" s="6"/>
      <c r="Y180" s="6"/>
      <c r="Z180" s="6"/>
      <c r="AA180" s="6"/>
      <c r="AB180" s="6" t="s">
        <v>33</v>
      </c>
      <c r="AC180" s="6"/>
      <c r="AD180" s="6" t="s">
        <v>865</v>
      </c>
      <c r="AE180" s="6" t="s">
        <v>142</v>
      </c>
      <c r="AF180" s="6" t="s">
        <v>95</v>
      </c>
    </row>
    <row r="181" spans="1:32">
      <c r="A181" s="6" t="s">
        <v>866</v>
      </c>
      <c r="B181" s="6" t="s">
        <v>867</v>
      </c>
      <c r="C181" s="6">
        <v>2023</v>
      </c>
      <c r="D181" s="6" t="s">
        <v>868</v>
      </c>
      <c r="E181" s="6" t="str">
        <f>HYPERLINK("https://www1.nyc.gov/assets/planning/download/pdf/about/cpc/220453.pdf","Open PDF")</f>
        <v>Open PDF</v>
      </c>
      <c r="F181" s="6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10"/>
      <c r="X181" s="6"/>
      <c r="Y181" s="6"/>
      <c r="Z181" s="6"/>
      <c r="AA181" s="6"/>
      <c r="AB181" s="6" t="s">
        <v>46</v>
      </c>
      <c r="AC181" s="6" t="s">
        <v>869</v>
      </c>
      <c r="AD181" s="6" t="s">
        <v>870</v>
      </c>
      <c r="AE181" s="6" t="s">
        <v>49</v>
      </c>
      <c r="AF181" s="6" t="s">
        <v>210</v>
      </c>
    </row>
    <row r="182" spans="1:32">
      <c r="A182" s="6" t="s">
        <v>871</v>
      </c>
      <c r="B182" s="6" t="s">
        <v>872</v>
      </c>
      <c r="C182" s="6">
        <v>1983</v>
      </c>
      <c r="D182" s="6" t="s">
        <v>873</v>
      </c>
      <c r="E182" s="6" t="str">
        <f>HYPERLINK("https://www1.nyc.gov/assets/planning/download/pdf/about/cpc/830137.pdf","Open PDF")</f>
        <v>Open PDF</v>
      </c>
      <c r="F182" s="6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10"/>
      <c r="X182" s="6"/>
      <c r="Y182" s="6"/>
      <c r="Z182" s="6"/>
      <c r="AA182" s="6"/>
      <c r="AB182" s="6" t="s">
        <v>33</v>
      </c>
      <c r="AC182" s="6"/>
      <c r="AD182" s="6" t="s">
        <v>874</v>
      </c>
      <c r="AE182" s="6" t="s">
        <v>167</v>
      </c>
      <c r="AF182" s="6" t="s">
        <v>131</v>
      </c>
    </row>
    <row r="183" spans="1:32">
      <c r="A183" s="6" t="s">
        <v>875</v>
      </c>
      <c r="B183" s="6" t="s">
        <v>876</v>
      </c>
      <c r="C183" s="6">
        <v>1995</v>
      </c>
      <c r="D183" s="6" t="s">
        <v>877</v>
      </c>
      <c r="E183" s="6" t="str">
        <f>HYPERLINK("https://www1.nyc.gov/assets/planning/download/pdf/about/cpc/940309.pdf","Open PDF")</f>
        <v>Open PDF</v>
      </c>
      <c r="F183" s="6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10"/>
      <c r="X183" s="6"/>
      <c r="Y183" s="6"/>
      <c r="Z183" s="6"/>
      <c r="AA183" s="6"/>
      <c r="AB183" s="6" t="s">
        <v>33</v>
      </c>
      <c r="AC183" s="6"/>
      <c r="AD183" s="6" t="s">
        <v>878</v>
      </c>
      <c r="AE183" s="6" t="s">
        <v>49</v>
      </c>
      <c r="AF183" s="6" t="s">
        <v>273</v>
      </c>
    </row>
    <row r="184" spans="1:32">
      <c r="A184" s="6" t="s">
        <v>879</v>
      </c>
      <c r="B184" s="6" t="s">
        <v>880</v>
      </c>
      <c r="C184" s="6">
        <v>1985</v>
      </c>
      <c r="D184" s="6" t="s">
        <v>881</v>
      </c>
      <c r="E184" s="6" t="str">
        <f>HYPERLINK("https://www1.nyc.gov/assets/planning/download/pdf/about/cpc/851036.pdf","Open PDF")</f>
        <v>Open PDF</v>
      </c>
      <c r="F184" s="6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10"/>
      <c r="X184" s="6"/>
      <c r="Y184" s="6"/>
      <c r="Z184" s="6"/>
      <c r="AA184" s="6"/>
      <c r="AB184" s="6" t="s">
        <v>33</v>
      </c>
      <c r="AC184" s="6"/>
      <c r="AD184" s="6" t="s">
        <v>882</v>
      </c>
      <c r="AE184" s="6" t="s">
        <v>142</v>
      </c>
      <c r="AF184" s="6" t="s">
        <v>36</v>
      </c>
    </row>
    <row r="185" spans="1:32">
      <c r="A185" s="6" t="s">
        <v>883</v>
      </c>
      <c r="B185" s="6" t="s">
        <v>884</v>
      </c>
      <c r="C185" s="6">
        <v>1990</v>
      </c>
      <c r="D185" s="6" t="s">
        <v>885</v>
      </c>
      <c r="E185" s="6" t="str">
        <f>HYPERLINK("https://www1.nyc.gov/assets/planning/download/pdf/about/cpc/900399.pdf","Open PDF")</f>
        <v>Open PDF</v>
      </c>
      <c r="F185" s="6"/>
      <c r="G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10"/>
      <c r="X185" s="6"/>
      <c r="Y185" s="6"/>
      <c r="Z185" s="6"/>
      <c r="AA185" s="6"/>
      <c r="AB185" s="6" t="s">
        <v>33</v>
      </c>
      <c r="AC185" s="6"/>
      <c r="AD185" s="6" t="s">
        <v>886</v>
      </c>
      <c r="AE185" s="6" t="s">
        <v>61</v>
      </c>
      <c r="AF185" s="6" t="s">
        <v>334</v>
      </c>
    </row>
    <row r="186" spans="1:32">
      <c r="A186" s="6" t="s">
        <v>887</v>
      </c>
      <c r="B186" s="6" t="s">
        <v>888</v>
      </c>
      <c r="C186" s="6">
        <v>2016</v>
      </c>
      <c r="D186" s="6" t="s">
        <v>889</v>
      </c>
      <c r="E186" s="6" t="str">
        <f>HYPERLINK("https://www1.nyc.gov/assets/planning/download/pdf/about/cpc/160243.pdf","Open PDF")</f>
        <v>Open PDF</v>
      </c>
      <c r="F186" s="6"/>
      <c r="G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10"/>
      <c r="X186" s="6"/>
      <c r="Y186" s="6"/>
      <c r="Z186" s="6"/>
      <c r="AA186" s="6"/>
      <c r="AB186" s="6" t="s">
        <v>46</v>
      </c>
      <c r="AC186" s="6" t="s">
        <v>890</v>
      </c>
      <c r="AD186" s="6" t="s">
        <v>891</v>
      </c>
      <c r="AE186" s="6" t="s">
        <v>436</v>
      </c>
      <c r="AF186" s="6" t="s">
        <v>122</v>
      </c>
    </row>
    <row r="187" spans="1:32">
      <c r="A187" s="6" t="s">
        <v>892</v>
      </c>
      <c r="B187" s="6" t="s">
        <v>893</v>
      </c>
      <c r="C187" s="6">
        <v>1989</v>
      </c>
      <c r="D187" s="6" t="s">
        <v>894</v>
      </c>
      <c r="E187" s="6" t="str">
        <f>HYPERLINK("https://www1.nyc.gov/assets/planning/download/pdf/about/cpc/880040.pdf","Open PDF")</f>
        <v>Open PDF</v>
      </c>
      <c r="F187" s="6"/>
      <c r="G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10"/>
      <c r="X187" s="6"/>
      <c r="Y187" s="6"/>
      <c r="Z187" s="6"/>
      <c r="AA187" s="6"/>
      <c r="AB187" s="6" t="s">
        <v>46</v>
      </c>
      <c r="AC187" s="6" t="s">
        <v>895</v>
      </c>
      <c r="AD187" s="6" t="s">
        <v>896</v>
      </c>
      <c r="AE187" s="6" t="s">
        <v>67</v>
      </c>
      <c r="AF187" s="6" t="s">
        <v>824</v>
      </c>
    </row>
    <row r="188" spans="1:32">
      <c r="A188" s="6" t="s">
        <v>897</v>
      </c>
      <c r="B188" s="6" t="s">
        <v>206</v>
      </c>
      <c r="C188" s="6">
        <v>1994</v>
      </c>
      <c r="D188" s="6" t="s">
        <v>898</v>
      </c>
      <c r="E188" s="6" t="str">
        <f>HYPERLINK("https://www1.nyc.gov/assets/planning/download/pdf/about/cpc/940135.pdf","Open PDF")</f>
        <v>Open PDF</v>
      </c>
      <c r="F188" s="6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10"/>
      <c r="X188" s="6"/>
      <c r="Y188" s="6"/>
      <c r="Z188" s="6"/>
      <c r="AA188" s="6"/>
      <c r="AB188" s="6" t="s">
        <v>46</v>
      </c>
      <c r="AC188" s="6" t="s">
        <v>899</v>
      </c>
      <c r="AD188" s="6" t="s">
        <v>900</v>
      </c>
      <c r="AE188" s="6" t="s">
        <v>74</v>
      </c>
      <c r="AF188" s="6" t="s">
        <v>316</v>
      </c>
    </row>
    <row r="189" spans="1:32">
      <c r="A189" s="6" t="s">
        <v>901</v>
      </c>
      <c r="B189" s="6" t="s">
        <v>902</v>
      </c>
      <c r="C189" s="6">
        <v>2014</v>
      </c>
      <c r="D189" s="6" t="s">
        <v>903</v>
      </c>
      <c r="E189" s="6" t="str">
        <f>HYPERLINK("https://www1.nyc.gov/assets/planning/download/pdf/about/cpc/140132.pdf","Open PDF")</f>
        <v>Open PDF</v>
      </c>
      <c r="F189" s="6"/>
      <c r="G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10"/>
      <c r="X189" s="6"/>
      <c r="Y189" s="6"/>
      <c r="Z189" s="6"/>
      <c r="AA189" s="6"/>
      <c r="AB189" s="6" t="s">
        <v>33</v>
      </c>
      <c r="AC189" s="6"/>
      <c r="AD189" s="6" t="s">
        <v>904</v>
      </c>
      <c r="AE189" s="6" t="s">
        <v>41</v>
      </c>
      <c r="AF189" s="6" t="s">
        <v>122</v>
      </c>
    </row>
    <row r="190" spans="1:32">
      <c r="A190" s="6" t="s">
        <v>905</v>
      </c>
      <c r="B190" s="6" t="s">
        <v>906</v>
      </c>
      <c r="C190" s="6">
        <v>1984</v>
      </c>
      <c r="D190" s="6" t="s">
        <v>907</v>
      </c>
      <c r="E190" s="6" t="str">
        <f>HYPERLINK("https://www1.nyc.gov/assets/planning/download/pdf/about/cpc/820449.pdf","Open PDF")</f>
        <v>Open PDF</v>
      </c>
      <c r="F190" s="6"/>
      <c r="G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10"/>
      <c r="X190" s="6"/>
      <c r="Y190" s="6"/>
      <c r="Z190" s="6"/>
      <c r="AA190" s="6"/>
      <c r="AB190" s="6" t="s">
        <v>33</v>
      </c>
      <c r="AC190" s="6"/>
      <c r="AD190" s="6" t="s">
        <v>908</v>
      </c>
      <c r="AE190" s="6" t="s">
        <v>49</v>
      </c>
      <c r="AF190" s="6" t="s">
        <v>148</v>
      </c>
    </row>
    <row r="191" spans="1:32">
      <c r="A191" s="6" t="s">
        <v>909</v>
      </c>
      <c r="B191" s="6" t="s">
        <v>910</v>
      </c>
      <c r="C191" s="6">
        <v>2005</v>
      </c>
      <c r="D191" s="6" t="s">
        <v>911</v>
      </c>
      <c r="E191" s="6" t="str">
        <f>HYPERLINK("https://www1.nyc.gov/assets/planning/download/pdf/about/cpc/060063.pdf","Open PDF")</f>
        <v>Open PDF</v>
      </c>
      <c r="F191" s="6"/>
      <c r="G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10"/>
      <c r="X191" s="6"/>
      <c r="Y191" s="6"/>
      <c r="Z191" s="6"/>
      <c r="AA191" s="6"/>
      <c r="AB191" s="6" t="s">
        <v>46</v>
      </c>
      <c r="AC191" s="6" t="s">
        <v>912</v>
      </c>
      <c r="AD191" s="6" t="s">
        <v>913</v>
      </c>
      <c r="AE191" s="6" t="s">
        <v>49</v>
      </c>
      <c r="AF191" s="6" t="s">
        <v>50</v>
      </c>
    </row>
    <row r="192" spans="1:32">
      <c r="A192" s="6" t="s">
        <v>914</v>
      </c>
      <c r="B192" s="6" t="s">
        <v>915</v>
      </c>
      <c r="C192" s="6">
        <v>2021</v>
      </c>
      <c r="D192" s="6" t="s">
        <v>916</v>
      </c>
      <c r="E192" s="6" t="str">
        <f>HYPERLINK("https://www1.nyc.gov/assets/planning/download/pdf/about/cpc/210133.pdf","Open PDF")</f>
        <v>Open PDF</v>
      </c>
      <c r="F192" s="6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10"/>
      <c r="X192" s="6"/>
      <c r="Y192" s="6"/>
      <c r="Z192" s="6"/>
      <c r="AA192" s="6"/>
      <c r="AB192" s="6" t="s">
        <v>33</v>
      </c>
      <c r="AC192" s="6"/>
      <c r="AD192" s="6" t="s">
        <v>917</v>
      </c>
      <c r="AE192" s="6" t="s">
        <v>49</v>
      </c>
      <c r="AF192" s="6" t="s">
        <v>918</v>
      </c>
    </row>
    <row r="193" spans="1:32">
      <c r="A193" s="6" t="s">
        <v>919</v>
      </c>
      <c r="B193" s="6" t="s">
        <v>920</v>
      </c>
      <c r="C193" s="6">
        <v>1989</v>
      </c>
      <c r="D193" s="6" t="s">
        <v>921</v>
      </c>
      <c r="E193" s="6" t="str">
        <f>HYPERLINK("https://www1.nyc.gov/assets/planning/download/pdf/about/cpc/900052.pdf","Open PDF")</f>
        <v>Open PDF</v>
      </c>
      <c r="F193" s="6"/>
      <c r="G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10"/>
      <c r="X193" s="6"/>
      <c r="Y193" s="6"/>
      <c r="Z193" s="6"/>
      <c r="AA193" s="6"/>
      <c r="AB193" s="6" t="s">
        <v>33</v>
      </c>
      <c r="AC193" s="6"/>
      <c r="AD193" s="6" t="s">
        <v>922</v>
      </c>
      <c r="AE193" s="6" t="s">
        <v>49</v>
      </c>
      <c r="AF193" s="6" t="s">
        <v>258</v>
      </c>
    </row>
    <row r="194" spans="1:32">
      <c r="A194" s="6" t="s">
        <v>923</v>
      </c>
      <c r="B194" s="6" t="s">
        <v>924</v>
      </c>
      <c r="C194" s="6">
        <v>2025</v>
      </c>
      <c r="D194" s="6" t="s">
        <v>925</v>
      </c>
      <c r="E194" s="6" t="str">
        <f>HYPERLINK("https://www1.nyc.gov/assets/planning/download/pdf/about/cpc/240186.pdf","Open PDF")</f>
        <v>Open PDF</v>
      </c>
      <c r="F194" s="6"/>
      <c r="G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10"/>
      <c r="X194" s="6"/>
      <c r="Y194" s="6"/>
      <c r="Z194" s="6"/>
      <c r="AA194" s="6"/>
      <c r="AB194" s="6" t="s">
        <v>33</v>
      </c>
      <c r="AC194" s="6"/>
      <c r="AD194" s="6" t="s">
        <v>926</v>
      </c>
      <c r="AE194" s="6" t="s">
        <v>49</v>
      </c>
      <c r="AF194" s="6" t="s">
        <v>42</v>
      </c>
    </row>
    <row r="195" spans="1:32">
      <c r="A195" s="6" t="s">
        <v>927</v>
      </c>
      <c r="B195" s="6" t="s">
        <v>928</v>
      </c>
      <c r="C195" s="6">
        <v>1979</v>
      </c>
      <c r="D195" s="6" t="s">
        <v>929</v>
      </c>
      <c r="E195" s="6" t="str">
        <f>HYPERLINK("https://www1.nyc.gov/assets/planning/download/pdf/about/cpc/780287.pdf","Open PDF")</f>
        <v>Open PDF</v>
      </c>
      <c r="F195" s="6"/>
      <c r="G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10"/>
      <c r="X195" s="6"/>
      <c r="Y195" s="6"/>
      <c r="Z195" s="6"/>
      <c r="AA195" s="6"/>
      <c r="AB195" s="6" t="s">
        <v>33</v>
      </c>
      <c r="AC195" s="6"/>
      <c r="AD195" s="6" t="s">
        <v>930</v>
      </c>
      <c r="AE195" s="6" t="s">
        <v>49</v>
      </c>
      <c r="AF195" s="6" t="s">
        <v>183</v>
      </c>
    </row>
    <row r="196" spans="1:32">
      <c r="A196" s="6" t="s">
        <v>931</v>
      </c>
      <c r="B196" s="6" t="s">
        <v>932</v>
      </c>
      <c r="C196" s="6">
        <v>2014</v>
      </c>
      <c r="D196" s="6" t="s">
        <v>933</v>
      </c>
      <c r="E196" s="6" t="str">
        <f>HYPERLINK("https://www1.nyc.gov/assets/planning/download/pdf/about/cpc/140227.pdf","Open PDF")</f>
        <v>Open PDF</v>
      </c>
      <c r="F196" s="6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10"/>
      <c r="X196" s="6"/>
      <c r="Y196" s="6"/>
      <c r="Z196" s="6"/>
      <c r="AA196" s="6"/>
      <c r="AB196" s="6" t="s">
        <v>33</v>
      </c>
      <c r="AC196" s="6"/>
      <c r="AD196" s="6" t="s">
        <v>934</v>
      </c>
      <c r="AE196" s="6" t="s">
        <v>935</v>
      </c>
      <c r="AF196" s="6" t="s">
        <v>194</v>
      </c>
    </row>
    <row r="197" spans="1:32">
      <c r="A197" s="6" t="s">
        <v>936</v>
      </c>
      <c r="B197" s="6" t="s">
        <v>937</v>
      </c>
      <c r="C197" s="6">
        <v>1991</v>
      </c>
      <c r="D197" s="6" t="s">
        <v>938</v>
      </c>
      <c r="E197" s="6" t="str">
        <f>HYPERLINK("https://www1.nyc.gov/assets/planning/download/pdf/about/cpc/910255.pdf","Open PDF")</f>
        <v>Open PDF</v>
      </c>
      <c r="F197" s="6"/>
      <c r="G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10"/>
      <c r="X197" s="6"/>
      <c r="Y197" s="6"/>
      <c r="Z197" s="6"/>
      <c r="AA197" s="6"/>
      <c r="AB197" s="6" t="s">
        <v>46</v>
      </c>
      <c r="AC197" s="6" t="s">
        <v>939</v>
      </c>
      <c r="AD197" s="6" t="s">
        <v>940</v>
      </c>
      <c r="AE197" s="6" t="s">
        <v>49</v>
      </c>
      <c r="AF197" s="6" t="s">
        <v>361</v>
      </c>
    </row>
    <row r="198" spans="1:32">
      <c r="A198" s="6" t="s">
        <v>941</v>
      </c>
      <c r="B198" s="6" t="s">
        <v>942</v>
      </c>
      <c r="C198" s="6">
        <v>2017</v>
      </c>
      <c r="D198" s="6" t="s">
        <v>943</v>
      </c>
      <c r="E198" s="6" t="str">
        <f>HYPERLINK("https://www1.nyc.gov/assets/planning/download/pdf/about/cpc/170382.pdf","Open PDF")</f>
        <v>Open PDF</v>
      </c>
      <c r="F198" s="6"/>
      <c r="G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10"/>
      <c r="X198" s="6"/>
      <c r="Y198" s="6"/>
      <c r="Z198" s="6"/>
      <c r="AA198" s="6"/>
      <c r="AB198" s="6" t="s">
        <v>46</v>
      </c>
      <c r="AC198" s="6" t="s">
        <v>944</v>
      </c>
      <c r="AD198" s="6" t="s">
        <v>945</v>
      </c>
      <c r="AE198" s="6" t="s">
        <v>41</v>
      </c>
      <c r="AF198" s="6" t="s">
        <v>112</v>
      </c>
    </row>
    <row r="199" spans="1:32">
      <c r="A199" s="6" t="s">
        <v>946</v>
      </c>
      <c r="B199" s="6" t="s">
        <v>947</v>
      </c>
      <c r="C199" s="6">
        <v>1992</v>
      </c>
      <c r="D199" s="6" t="s">
        <v>948</v>
      </c>
      <c r="E199" s="6" t="str">
        <f>HYPERLINK("https://www1.nyc.gov/assets/planning/download/pdf/about/cpc/920381.pdf","Open PDF")</f>
        <v>Open PDF</v>
      </c>
      <c r="F199" s="6"/>
      <c r="G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10"/>
      <c r="X199" s="6"/>
      <c r="Y199" s="6"/>
      <c r="Z199" s="6"/>
      <c r="AA199" s="6"/>
      <c r="AB199" s="6" t="s">
        <v>33</v>
      </c>
      <c r="AC199" s="6"/>
      <c r="AD199" s="6" t="s">
        <v>949</v>
      </c>
      <c r="AE199" s="6" t="s">
        <v>61</v>
      </c>
      <c r="AF199" s="6" t="s">
        <v>85</v>
      </c>
    </row>
    <row r="200" spans="1:32">
      <c r="A200" s="6" t="s">
        <v>950</v>
      </c>
      <c r="B200" s="6" t="s">
        <v>951</v>
      </c>
      <c r="C200" s="6">
        <v>2024</v>
      </c>
      <c r="D200" s="6" t="s">
        <v>952</v>
      </c>
      <c r="E200" s="6" t="str">
        <f>HYPERLINK("https://www1.nyc.gov/assets/planning/download/pdf/about/cpc/220185.pdf","Open PDF")</f>
        <v>Open PDF</v>
      </c>
      <c r="F200" s="6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10"/>
      <c r="X200" s="6"/>
      <c r="Y200" s="6"/>
      <c r="Z200" s="6"/>
      <c r="AA200" s="6"/>
      <c r="AB200" s="6" t="s">
        <v>46</v>
      </c>
      <c r="AC200" s="6" t="s">
        <v>953</v>
      </c>
      <c r="AD200" s="6" t="s">
        <v>954</v>
      </c>
      <c r="AE200" s="6" t="s">
        <v>49</v>
      </c>
      <c r="AF200" s="6" t="s">
        <v>183</v>
      </c>
    </row>
    <row r="201" spans="1:32">
      <c r="A201" s="6" t="s">
        <v>955</v>
      </c>
      <c r="B201" s="6" t="s">
        <v>956</v>
      </c>
      <c r="C201" s="6">
        <v>2004</v>
      </c>
      <c r="D201" s="6" t="s">
        <v>957</v>
      </c>
      <c r="E201" s="6" t="str">
        <f>HYPERLINK("https://www1.nyc.gov/assets/planning/download/pdf/about/cpc/010691.pdf","Open PDF")</f>
        <v>Open PDF</v>
      </c>
      <c r="F201" s="6"/>
      <c r="G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10"/>
      <c r="X201" s="6"/>
      <c r="Y201" s="6"/>
      <c r="Z201" s="6"/>
      <c r="AA201" s="6"/>
      <c r="AB201" s="6" t="s">
        <v>46</v>
      </c>
      <c r="AC201" s="6" t="s">
        <v>958</v>
      </c>
      <c r="AD201" s="6" t="s">
        <v>959</v>
      </c>
      <c r="AE201" s="6" t="s">
        <v>41</v>
      </c>
      <c r="AF201" s="6" t="s">
        <v>112</v>
      </c>
    </row>
    <row r="202" spans="1:32">
      <c r="A202" s="6" t="s">
        <v>960</v>
      </c>
      <c r="B202" s="6" t="s">
        <v>961</v>
      </c>
      <c r="C202" s="6">
        <v>1976</v>
      </c>
      <c r="D202" s="6" t="s">
        <v>962</v>
      </c>
      <c r="E202" s="6" t="str">
        <f>HYPERLINK("https://www1.nyc.gov/assets/planning/download/pdf/about/cpc/760072.pdf","Open PDF")</f>
        <v>Open PDF</v>
      </c>
      <c r="F202" s="6"/>
      <c r="G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10"/>
      <c r="X202" s="6"/>
      <c r="Y202" s="6"/>
      <c r="Z202" s="6"/>
      <c r="AA202" s="6"/>
      <c r="AB202" s="6" t="s">
        <v>46</v>
      </c>
      <c r="AC202" s="6" t="s">
        <v>963</v>
      </c>
      <c r="AD202" s="6" t="s">
        <v>964</v>
      </c>
      <c r="AE202" s="6" t="s">
        <v>142</v>
      </c>
      <c r="AF202" s="6" t="s">
        <v>194</v>
      </c>
    </row>
    <row r="203" spans="1:32">
      <c r="A203" s="6" t="s">
        <v>965</v>
      </c>
      <c r="B203" s="6" t="s">
        <v>966</v>
      </c>
      <c r="C203" s="6">
        <v>2018</v>
      </c>
      <c r="D203" s="6" t="s">
        <v>967</v>
      </c>
      <c r="E203" s="6" t="str">
        <f>HYPERLINK("https://www1.nyc.gov/assets/planning/download/pdf/about/cpc/180204a.pdf","Open PDF")</f>
        <v>Open PDF</v>
      </c>
      <c r="F203" s="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10"/>
      <c r="X203" s="6"/>
      <c r="Y203" s="6"/>
      <c r="Z203" s="6"/>
      <c r="AA203" s="6"/>
      <c r="AB203" s="6" t="s">
        <v>46</v>
      </c>
      <c r="AC203" s="6" t="s">
        <v>968</v>
      </c>
      <c r="AD203" s="6" t="s">
        <v>969</v>
      </c>
      <c r="AE203" s="6" t="s">
        <v>49</v>
      </c>
      <c r="AF203" s="6" t="s">
        <v>367</v>
      </c>
    </row>
    <row r="204" spans="1:32">
      <c r="A204" s="6" t="s">
        <v>970</v>
      </c>
      <c r="B204" s="6" t="s">
        <v>971</v>
      </c>
      <c r="C204" s="6">
        <v>1986</v>
      </c>
      <c r="D204" s="6" t="s">
        <v>972</v>
      </c>
      <c r="E204" s="6" t="str">
        <f>HYPERLINK("https://www1.nyc.gov/assets/planning/download/pdf/about/cpc/850328.pdf","Open PDF")</f>
        <v>Open PDF</v>
      </c>
      <c r="F204" s="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10"/>
      <c r="X204" s="6"/>
      <c r="Y204" s="6"/>
      <c r="Z204" s="6"/>
      <c r="AA204" s="6"/>
      <c r="AB204" s="6" t="s">
        <v>46</v>
      </c>
      <c r="AC204" s="6" t="s">
        <v>973</v>
      </c>
      <c r="AD204" s="6" t="s">
        <v>974</v>
      </c>
      <c r="AE204" s="6" t="s">
        <v>49</v>
      </c>
      <c r="AF204" s="6" t="s">
        <v>975</v>
      </c>
    </row>
    <row r="205" spans="1:32">
      <c r="A205" s="6" t="s">
        <v>976</v>
      </c>
      <c r="B205" s="6" t="s">
        <v>977</v>
      </c>
      <c r="C205" s="6">
        <v>2006</v>
      </c>
      <c r="D205" s="6" t="s">
        <v>978</v>
      </c>
      <c r="E205" s="6" t="str">
        <f>HYPERLINK("https://www1.nyc.gov/assets/planning/download/pdf/about/cpc/060102.pdf","Open PDF")</f>
        <v>Open PDF</v>
      </c>
      <c r="F205" s="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10"/>
      <c r="X205" s="6"/>
      <c r="Y205" s="6"/>
      <c r="Z205" s="6"/>
      <c r="AA205" s="6"/>
      <c r="AB205" s="6" t="s">
        <v>33</v>
      </c>
      <c r="AC205" s="6"/>
      <c r="AD205" s="6" t="s">
        <v>979</v>
      </c>
      <c r="AE205" s="6" t="s">
        <v>41</v>
      </c>
      <c r="AF205" s="6" t="s">
        <v>112</v>
      </c>
    </row>
    <row r="206" spans="1:32">
      <c r="A206" s="6" t="s">
        <v>980</v>
      </c>
      <c r="B206" s="6" t="s">
        <v>981</v>
      </c>
      <c r="C206" s="6">
        <v>1985</v>
      </c>
      <c r="D206" s="6" t="s">
        <v>982</v>
      </c>
      <c r="E206" s="6" t="str">
        <f>HYPERLINK("https://www1.nyc.gov/assets/planning/download/pdf/about/cpc/850547.pdf","Open PDF")</f>
        <v>Open PDF</v>
      </c>
      <c r="F206" s="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10"/>
      <c r="X206" s="6"/>
      <c r="Y206" s="6"/>
      <c r="Z206" s="6"/>
      <c r="AA206" s="6"/>
      <c r="AB206" s="6" t="s">
        <v>33</v>
      </c>
      <c r="AC206" s="6"/>
      <c r="AD206" s="6" t="s">
        <v>983</v>
      </c>
      <c r="AE206" s="6" t="s">
        <v>74</v>
      </c>
      <c r="AF206" s="6" t="s">
        <v>316</v>
      </c>
    </row>
    <row r="207" spans="1:32">
      <c r="A207" s="6" t="s">
        <v>984</v>
      </c>
      <c r="B207" s="6" t="s">
        <v>985</v>
      </c>
      <c r="C207" s="6">
        <v>1991</v>
      </c>
      <c r="D207" s="6" t="s">
        <v>986</v>
      </c>
      <c r="E207" s="6" t="str">
        <f>HYPERLINK("https://www1.nyc.gov/assets/planning/download/pdf/about/cpc/910156.pdf","Open PDF")</f>
        <v>Open PDF</v>
      </c>
      <c r="F207" s="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10"/>
      <c r="X207" s="6"/>
      <c r="Y207" s="6"/>
      <c r="Z207" s="6"/>
      <c r="AA207" s="6"/>
      <c r="AB207" s="6" t="s">
        <v>33</v>
      </c>
      <c r="AC207" s="6"/>
      <c r="AD207" s="6" t="s">
        <v>987</v>
      </c>
      <c r="AE207" s="6" t="s">
        <v>272</v>
      </c>
      <c r="AF207" s="6" t="s">
        <v>95</v>
      </c>
    </row>
    <row r="208" spans="1:32">
      <c r="A208" s="6" t="s">
        <v>988</v>
      </c>
      <c r="B208" s="6" t="s">
        <v>989</v>
      </c>
      <c r="C208" s="6">
        <v>2010</v>
      </c>
      <c r="D208" s="6" t="s">
        <v>990</v>
      </c>
      <c r="E208" s="6" t="str">
        <f>HYPERLINK("https://www1.nyc.gov/assets/planning/download/pdf/about/cpc/100437.pdf","Open PDF")</f>
        <v>Open PDF</v>
      </c>
      <c r="F208" s="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10"/>
      <c r="X208" s="6"/>
      <c r="Y208" s="6"/>
      <c r="Z208" s="6"/>
      <c r="AA208" s="6"/>
      <c r="AB208" s="6" t="s">
        <v>46</v>
      </c>
      <c r="AC208" s="6" t="s">
        <v>991</v>
      </c>
      <c r="AD208" s="6" t="s">
        <v>992</v>
      </c>
      <c r="AE208" s="6" t="s">
        <v>49</v>
      </c>
      <c r="AF208" s="6" t="s">
        <v>112</v>
      </c>
    </row>
    <row r="209" spans="1:32">
      <c r="A209" s="6" t="s">
        <v>993</v>
      </c>
      <c r="B209" s="6" t="s">
        <v>994</v>
      </c>
      <c r="C209" s="6">
        <v>1986</v>
      </c>
      <c r="D209" s="6" t="s">
        <v>995</v>
      </c>
      <c r="E209" s="6" t="str">
        <f>HYPERLINK("https://www1.nyc.gov/assets/planning/download/pdf/about/cpc/870125.pdf","Open PDF")</f>
        <v>Open PDF</v>
      </c>
      <c r="F209" s="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10"/>
      <c r="X209" s="6"/>
      <c r="Y209" s="6"/>
      <c r="Z209" s="6"/>
      <c r="AA209" s="6"/>
      <c r="AB209" s="6" t="s">
        <v>46</v>
      </c>
      <c r="AC209" s="6" t="s">
        <v>996</v>
      </c>
      <c r="AD209" s="6" t="s">
        <v>997</v>
      </c>
      <c r="AE209" s="6" t="s">
        <v>142</v>
      </c>
      <c r="AF209" s="6" t="s">
        <v>850</v>
      </c>
    </row>
    <row r="210" spans="1:32">
      <c r="A210" s="6" t="s">
        <v>998</v>
      </c>
      <c r="B210" s="6" t="s">
        <v>999</v>
      </c>
      <c r="C210" s="6">
        <v>1992</v>
      </c>
      <c r="D210" s="6" t="s">
        <v>1000</v>
      </c>
      <c r="E210" s="6" t="str">
        <f>HYPERLINK("https://www1.nyc.gov/assets/planning/download/pdf/about/cpc/920404.pdf","Open PDF")</f>
        <v>Open PDF</v>
      </c>
      <c r="F210" s="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10"/>
      <c r="X210" s="6"/>
      <c r="Y210" s="6"/>
      <c r="Z210" s="6"/>
      <c r="AA210" s="6"/>
      <c r="AB210" s="6" t="s">
        <v>33</v>
      </c>
      <c r="AC210" s="6"/>
      <c r="AD210" s="6" t="s">
        <v>1001</v>
      </c>
      <c r="AE210" s="6" t="s">
        <v>142</v>
      </c>
      <c r="AF210" s="6" t="s">
        <v>239</v>
      </c>
    </row>
    <row r="211" spans="1:32">
      <c r="A211" s="6" t="s">
        <v>1002</v>
      </c>
      <c r="B211" s="6" t="s">
        <v>1003</v>
      </c>
      <c r="C211" s="6">
        <v>1990</v>
      </c>
      <c r="D211" s="6" t="s">
        <v>1004</v>
      </c>
      <c r="E211" s="6" t="str">
        <f>HYPERLINK("https://www1.nyc.gov/assets/planning/download/pdf/about/cpc/890828.pdf","Open PDF")</f>
        <v>Open PDF</v>
      </c>
      <c r="F211" s="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10"/>
      <c r="X211" s="6"/>
      <c r="Y211" s="6"/>
      <c r="Z211" s="6"/>
      <c r="AA211" s="6"/>
      <c r="AB211" s="6" t="s">
        <v>46</v>
      </c>
      <c r="AC211" s="6" t="s">
        <v>1005</v>
      </c>
      <c r="AD211" s="6" t="s">
        <v>1006</v>
      </c>
      <c r="AE211" s="6" t="s">
        <v>74</v>
      </c>
      <c r="AF211" s="6" t="s">
        <v>137</v>
      </c>
    </row>
    <row r="212" spans="1:32">
      <c r="A212" s="6" t="s">
        <v>1007</v>
      </c>
      <c r="B212" s="6" t="s">
        <v>1008</v>
      </c>
      <c r="C212" s="6">
        <v>2006</v>
      </c>
      <c r="D212" s="6" t="s">
        <v>1009</v>
      </c>
      <c r="E212" s="6" t="str">
        <f>HYPERLINK("https://www1.nyc.gov/assets/planning/download/pdf/about/cpc/060409.pdf","Open PDF")</f>
        <v>Open PDF</v>
      </c>
      <c r="F212" s="6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10"/>
      <c r="X212" s="6"/>
      <c r="Y212" s="6"/>
      <c r="Z212" s="6"/>
      <c r="AA212" s="6"/>
      <c r="AB212" s="6" t="s">
        <v>46</v>
      </c>
      <c r="AC212" s="6" t="s">
        <v>1010</v>
      </c>
      <c r="AD212" s="6" t="s">
        <v>1011</v>
      </c>
      <c r="AE212" s="6" t="s">
        <v>188</v>
      </c>
      <c r="AF212" s="6" t="s">
        <v>298</v>
      </c>
    </row>
    <row r="213" spans="1:32">
      <c r="A213" s="6" t="s">
        <v>1012</v>
      </c>
      <c r="B213" s="6" t="s">
        <v>1013</v>
      </c>
      <c r="C213" s="6">
        <v>2023</v>
      </c>
      <c r="D213" s="6" t="s">
        <v>1014</v>
      </c>
      <c r="E213" s="6" t="str">
        <f>HYPERLINK("https://www1.nyc.gov/assets/planning/download/pdf/about/cpc/230145.pdf","Open PDF")</f>
        <v>Open PDF</v>
      </c>
      <c r="F213" s="6"/>
      <c r="G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10"/>
      <c r="X213" s="6"/>
      <c r="Y213" s="6"/>
      <c r="Z213" s="6"/>
      <c r="AA213" s="6"/>
      <c r="AB213" s="6" t="s">
        <v>33</v>
      </c>
      <c r="AC213" s="6"/>
      <c r="AD213" s="6" t="s">
        <v>1015</v>
      </c>
      <c r="AE213" s="6" t="s">
        <v>41</v>
      </c>
      <c r="AF213" s="6" t="s">
        <v>372</v>
      </c>
    </row>
    <row r="214" spans="1:32">
      <c r="A214" s="6" t="s">
        <v>1016</v>
      </c>
      <c r="B214" s="6" t="s">
        <v>1017</v>
      </c>
      <c r="C214" s="6">
        <v>2010</v>
      </c>
      <c r="D214" s="6" t="s">
        <v>1018</v>
      </c>
      <c r="E214" s="6" t="str">
        <f>HYPERLINK("https://www1.nyc.gov/assets/planning/download/pdf/about/cpc/100216.pdf","Open PDF")</f>
        <v>Open PDF</v>
      </c>
      <c r="F214" s="6"/>
      <c r="G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10"/>
      <c r="X214" s="6"/>
      <c r="Y214" s="6"/>
      <c r="Z214" s="6"/>
      <c r="AA214" s="6"/>
      <c r="AB214" s="6" t="s">
        <v>33</v>
      </c>
      <c r="AC214" s="6"/>
      <c r="AD214" s="6" t="s">
        <v>1019</v>
      </c>
      <c r="AE214" s="6" t="s">
        <v>188</v>
      </c>
      <c r="AF214" s="6" t="s">
        <v>183</v>
      </c>
    </row>
    <row r="215" spans="1:32">
      <c r="A215" s="6" t="s">
        <v>1020</v>
      </c>
      <c r="B215" s="6" t="s">
        <v>206</v>
      </c>
      <c r="C215" s="6">
        <v>1998</v>
      </c>
      <c r="D215" s="6" t="s">
        <v>1021</v>
      </c>
      <c r="E215" s="6" t="str">
        <f>HYPERLINK("https://www1.nyc.gov/assets/planning/download/pdf/about/cpc/970585.pdf","Open PDF")</f>
        <v>Open PDF</v>
      </c>
      <c r="F215" s="6"/>
      <c r="G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10"/>
      <c r="X215" s="6"/>
      <c r="Y215" s="6"/>
      <c r="Z215" s="6"/>
      <c r="AA215" s="6"/>
      <c r="AB215" s="6" t="s">
        <v>46</v>
      </c>
      <c r="AC215" s="6" t="s">
        <v>1022</v>
      </c>
      <c r="AD215" s="6" t="s">
        <v>1023</v>
      </c>
      <c r="AE215" s="6" t="s">
        <v>74</v>
      </c>
      <c r="AF215" s="6" t="s">
        <v>80</v>
      </c>
    </row>
    <row r="216" spans="1:32">
      <c r="A216" s="6" t="s">
        <v>1024</v>
      </c>
      <c r="B216" s="6" t="s">
        <v>1025</v>
      </c>
      <c r="C216" s="6">
        <v>2017</v>
      </c>
      <c r="D216" s="6" t="s">
        <v>1026</v>
      </c>
      <c r="E216" s="6" t="str">
        <f>HYPERLINK("https://www1.nyc.gov/assets/planning/download/pdf/about/cpc/150282.pdf","Open PDF")</f>
        <v>Open PDF</v>
      </c>
      <c r="F216" s="6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10"/>
      <c r="X216" s="6"/>
      <c r="Y216" s="6"/>
      <c r="Z216" s="6"/>
      <c r="AA216" s="6"/>
      <c r="AB216" s="6" t="s">
        <v>33</v>
      </c>
      <c r="AC216" s="6"/>
      <c r="AD216" s="6" t="s">
        <v>1027</v>
      </c>
      <c r="AE216" s="6" t="s">
        <v>61</v>
      </c>
      <c r="AF216" s="6" t="s">
        <v>515</v>
      </c>
    </row>
    <row r="217" spans="1:32">
      <c r="A217" s="6" t="s">
        <v>1028</v>
      </c>
      <c r="B217" s="6" t="s">
        <v>1029</v>
      </c>
      <c r="C217" s="6">
        <v>1997</v>
      </c>
      <c r="D217" s="6" t="s">
        <v>1030</v>
      </c>
      <c r="E217" s="6" t="str">
        <f>HYPERLINK("https://zap-api-production.herokuapp.com/document/projectaction/sites/nycdcppfs/dcp_projectaction/ZM%20-Zoning%20Map%20Amendment_90E16C652533E811812E1458D04D95C0/970160.pdf","Open PDF")</f>
        <v>Open PDF</v>
      </c>
      <c r="F217" s="6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10"/>
      <c r="X217" s="6"/>
      <c r="Y217" s="6"/>
      <c r="Z217" s="6"/>
      <c r="AA217" s="6"/>
      <c r="AB217" s="6" t="s">
        <v>46</v>
      </c>
      <c r="AC217" s="6" t="s">
        <v>1031</v>
      </c>
      <c r="AD217" s="6" t="s">
        <v>1032</v>
      </c>
      <c r="AE217" s="6" t="s">
        <v>49</v>
      </c>
      <c r="AF217" s="6" t="s">
        <v>239</v>
      </c>
    </row>
    <row r="218" spans="1:32">
      <c r="A218" s="6" t="s">
        <v>1033</v>
      </c>
      <c r="B218" s="6" t="s">
        <v>1034</v>
      </c>
      <c r="C218" s="6">
        <v>2011</v>
      </c>
      <c r="D218" s="6" t="s">
        <v>1035</v>
      </c>
      <c r="E218" s="6" t="str">
        <f>HYPERLINK("https://www1.nyc.gov/assets/planning/download/pdf/about/cpc/100310.pdf","Open PDF")</f>
        <v>Open PDF</v>
      </c>
      <c r="F218" s="6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10"/>
      <c r="X218" s="6"/>
      <c r="Y218" s="6"/>
      <c r="Z218" s="6"/>
      <c r="AA218" s="6"/>
      <c r="AB218" s="6" t="s">
        <v>46</v>
      </c>
      <c r="AC218" s="6" t="s">
        <v>1036</v>
      </c>
      <c r="AD218" s="6" t="s">
        <v>1037</v>
      </c>
      <c r="AE218" s="6" t="s">
        <v>49</v>
      </c>
      <c r="AF218" s="6" t="s">
        <v>1038</v>
      </c>
    </row>
    <row r="219" spans="1:32">
      <c r="A219" s="6" t="s">
        <v>1039</v>
      </c>
      <c r="B219" s="6" t="s">
        <v>1040</v>
      </c>
      <c r="C219" s="6">
        <v>1980</v>
      </c>
      <c r="D219" s="6" t="s">
        <v>1041</v>
      </c>
      <c r="E219" s="6" t="str">
        <f>HYPERLINK("https://www1.nyc.gov/assets/planning/download/pdf/about/cpc/800624.pdf","Open PDF")</f>
        <v>Open PDF</v>
      </c>
      <c r="F219" s="6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10"/>
      <c r="X219" s="6"/>
      <c r="Y219" s="6"/>
      <c r="Z219" s="6"/>
      <c r="AA219" s="6"/>
      <c r="AB219" s="6" t="s">
        <v>33</v>
      </c>
      <c r="AC219" s="6"/>
      <c r="AD219" s="6" t="s">
        <v>1042</v>
      </c>
      <c r="AE219" s="6" t="s">
        <v>74</v>
      </c>
      <c r="AF219" s="6" t="s">
        <v>501</v>
      </c>
    </row>
    <row r="220" spans="1:32">
      <c r="A220" s="6" t="s">
        <v>1043</v>
      </c>
      <c r="B220" s="6" t="s">
        <v>206</v>
      </c>
      <c r="C220" s="6">
        <v>1996</v>
      </c>
      <c r="D220" s="6" t="s">
        <v>1044</v>
      </c>
      <c r="E220" s="6" t="str">
        <f>HYPERLINK("https://www1.nyc.gov/assets/planning/download/pdf/about/cpc/940410.pdf","Open PDF")</f>
        <v>Open PDF</v>
      </c>
      <c r="F220" s="6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10"/>
      <c r="X220" s="6"/>
      <c r="Y220" s="6"/>
      <c r="Z220" s="6"/>
      <c r="AA220" s="6"/>
      <c r="AB220" s="6" t="s">
        <v>46</v>
      </c>
      <c r="AC220" s="6" t="s">
        <v>1045</v>
      </c>
      <c r="AD220" s="6" t="s">
        <v>1046</v>
      </c>
      <c r="AE220" s="6" t="s">
        <v>74</v>
      </c>
      <c r="AF220" s="6" t="s">
        <v>148</v>
      </c>
    </row>
    <row r="221" spans="1:32">
      <c r="A221" s="6" t="s">
        <v>1047</v>
      </c>
      <c r="B221" s="6" t="s">
        <v>1048</v>
      </c>
      <c r="C221" s="6">
        <v>2001</v>
      </c>
      <c r="D221" s="6" t="s">
        <v>1049</v>
      </c>
      <c r="E221" s="6" t="str">
        <f>HYPERLINK("https://www1.nyc.gov/assets/planning/download/pdf/about/cpc/010148.pdf","Open PDF")</f>
        <v>Open PDF</v>
      </c>
      <c r="F221" s="6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10"/>
      <c r="X221" s="6"/>
      <c r="Y221" s="6"/>
      <c r="Z221" s="6"/>
      <c r="AA221" s="6"/>
      <c r="AB221" s="6" t="s">
        <v>46</v>
      </c>
      <c r="AC221" s="6" t="s">
        <v>1050</v>
      </c>
      <c r="AD221" s="6" t="s">
        <v>1051</v>
      </c>
      <c r="AE221" s="6" t="s">
        <v>49</v>
      </c>
      <c r="AF221" s="6" t="s">
        <v>258</v>
      </c>
    </row>
    <row r="222" spans="1:32">
      <c r="A222" s="6" t="s">
        <v>1052</v>
      </c>
      <c r="B222" s="6" t="s">
        <v>1053</v>
      </c>
      <c r="C222" s="6">
        <v>1984</v>
      </c>
      <c r="D222" s="6" t="s">
        <v>1054</v>
      </c>
      <c r="E222" s="6" t="str">
        <f>HYPERLINK("https://www1.nyc.gov/assets/planning/download/pdf/about/cpc/840965.pdf","Open PDF")</f>
        <v>Open PDF</v>
      </c>
      <c r="F222" s="6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10"/>
      <c r="X222" s="6"/>
      <c r="Y222" s="6"/>
      <c r="Z222" s="6"/>
      <c r="AA222" s="6"/>
      <c r="AB222" s="6" t="s">
        <v>33</v>
      </c>
      <c r="AC222" s="6"/>
      <c r="AD222" s="6" t="s">
        <v>1055</v>
      </c>
      <c r="AE222" s="6" t="s">
        <v>142</v>
      </c>
      <c r="AF222" s="6" t="s">
        <v>367</v>
      </c>
    </row>
    <row r="223" spans="1:32">
      <c r="A223" s="6" t="s">
        <v>1056</v>
      </c>
      <c r="B223" s="6" t="s">
        <v>1057</v>
      </c>
      <c r="C223" s="6">
        <v>2013</v>
      </c>
      <c r="D223" s="6" t="s">
        <v>1058</v>
      </c>
      <c r="E223" s="6" t="str">
        <f>HYPERLINK("https://www1.nyc.gov/assets/planning/download/pdf/about/cpc/110254.pdf","Open PDF")</f>
        <v>Open PDF</v>
      </c>
      <c r="F223" s="6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10"/>
      <c r="X223" s="6"/>
      <c r="Y223" s="6"/>
      <c r="Z223" s="6"/>
      <c r="AA223" s="6"/>
      <c r="AB223" s="6" t="s">
        <v>33</v>
      </c>
      <c r="AC223" s="6"/>
      <c r="AD223" s="6" t="s">
        <v>1059</v>
      </c>
      <c r="AE223" s="6" t="s">
        <v>67</v>
      </c>
      <c r="AF223" s="6" t="s">
        <v>122</v>
      </c>
    </row>
    <row r="224" spans="1:32">
      <c r="A224" s="6" t="s">
        <v>1060</v>
      </c>
      <c r="B224" s="6" t="s">
        <v>1061</v>
      </c>
      <c r="C224" s="6">
        <v>1993</v>
      </c>
      <c r="D224" s="6" t="s">
        <v>1062</v>
      </c>
      <c r="E224" s="6" t="str">
        <f>HYPERLINK("https://www1.nyc.gov/assets/planning/download/pdf/about/cpc/920375.pdf","Open PDF")</f>
        <v>Open PDF</v>
      </c>
      <c r="F224" s="6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10"/>
      <c r="X224" s="6"/>
      <c r="Y224" s="6"/>
      <c r="Z224" s="6"/>
      <c r="AA224" s="6"/>
      <c r="AB224" s="6" t="s">
        <v>33</v>
      </c>
      <c r="AC224" s="6"/>
      <c r="AD224" s="6" t="s">
        <v>1063</v>
      </c>
      <c r="AE224" s="6" t="s">
        <v>61</v>
      </c>
      <c r="AF224" s="6" t="s">
        <v>372</v>
      </c>
    </row>
    <row r="225" spans="1:32">
      <c r="A225" s="6" t="s">
        <v>1064</v>
      </c>
      <c r="B225" s="6" t="s">
        <v>1065</v>
      </c>
      <c r="C225" s="6">
        <v>2020</v>
      </c>
      <c r="D225" s="6" t="s">
        <v>1066</v>
      </c>
      <c r="E225" s="6" t="str">
        <f>HYPERLINK("https://www1.nyc.gov/assets/planning/download/pdf/about/cpc/190438.pdf","Open PDF")</f>
        <v>Open PDF</v>
      </c>
      <c r="F225" s="6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10"/>
      <c r="X225" s="6"/>
      <c r="Y225" s="6"/>
      <c r="Z225" s="6"/>
      <c r="AA225" s="6"/>
      <c r="AB225" s="6" t="s">
        <v>46</v>
      </c>
      <c r="AC225" s="6" t="s">
        <v>1067</v>
      </c>
      <c r="AD225" s="6" t="s">
        <v>1068</v>
      </c>
      <c r="AE225" s="6" t="s">
        <v>49</v>
      </c>
      <c r="AF225" s="6" t="s">
        <v>292</v>
      </c>
    </row>
    <row r="226" spans="1:32">
      <c r="A226" s="6" t="s">
        <v>1069</v>
      </c>
      <c r="B226" s="6" t="s">
        <v>1070</v>
      </c>
      <c r="C226" s="6">
        <v>2005</v>
      </c>
      <c r="D226" s="6" t="s">
        <v>1071</v>
      </c>
      <c r="E226" s="6" t="str">
        <f>HYPERLINK("https://www1.nyc.gov/assets/planning/download/pdf/about/cpc/050045.pdf","Open PDF")</f>
        <v>Open PDF</v>
      </c>
      <c r="F226" s="6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10"/>
      <c r="X226" s="6"/>
      <c r="Y226" s="6"/>
      <c r="Z226" s="6"/>
      <c r="AA226" s="6"/>
      <c r="AB226" s="6" t="s">
        <v>33</v>
      </c>
      <c r="AC226" s="6"/>
      <c r="AD226" s="6" t="s">
        <v>1072</v>
      </c>
      <c r="AE226" s="6" t="s">
        <v>61</v>
      </c>
      <c r="AF226" s="6" t="s">
        <v>975</v>
      </c>
    </row>
    <row r="227" spans="1:32">
      <c r="A227" s="6" t="s">
        <v>1073</v>
      </c>
      <c r="B227" s="6" t="s">
        <v>1074</v>
      </c>
      <c r="C227" s="6">
        <v>1983</v>
      </c>
      <c r="D227" s="6" t="s">
        <v>1075</v>
      </c>
      <c r="E227" s="6" t="str">
        <f>HYPERLINK("https://www1.nyc.gov/assets/planning/download/pdf/about/cpc/800106.pdf","Open PDF")</f>
        <v>Open PDF</v>
      </c>
      <c r="F227" s="6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10"/>
      <c r="X227" s="6"/>
      <c r="Y227" s="6"/>
      <c r="Z227" s="6"/>
      <c r="AA227" s="6"/>
      <c r="AB227" s="6" t="s">
        <v>46</v>
      </c>
      <c r="AC227" s="6" t="s">
        <v>1076</v>
      </c>
      <c r="AD227" s="6" t="s">
        <v>1077</v>
      </c>
      <c r="AE227" s="6" t="s">
        <v>67</v>
      </c>
      <c r="AF227" s="6" t="s">
        <v>75</v>
      </c>
    </row>
    <row r="228" spans="1:32">
      <c r="A228" s="6" t="s">
        <v>1078</v>
      </c>
      <c r="B228" s="6" t="s">
        <v>1079</v>
      </c>
      <c r="C228" s="6">
        <v>1993</v>
      </c>
      <c r="D228" s="6" t="s">
        <v>1080</v>
      </c>
      <c r="E228" s="6" t="str">
        <f>HYPERLINK("https://www1.nyc.gov/assets/planning/download/pdf/about/cpc/930518.pdf","Open PDF")</f>
        <v>Open PDF</v>
      </c>
      <c r="F228" s="6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10"/>
      <c r="X228" s="6"/>
      <c r="Y228" s="6"/>
      <c r="Z228" s="6"/>
      <c r="AA228" s="6"/>
      <c r="AB228" s="6" t="s">
        <v>33</v>
      </c>
      <c r="AC228" s="6"/>
      <c r="AD228" s="6" t="s">
        <v>1081</v>
      </c>
      <c r="AE228" s="6" t="s">
        <v>61</v>
      </c>
      <c r="AF228" s="6" t="s">
        <v>1082</v>
      </c>
    </row>
    <row r="229" spans="1:32">
      <c r="A229" s="6" t="s">
        <v>1083</v>
      </c>
      <c r="B229" s="6" t="s">
        <v>1084</v>
      </c>
      <c r="C229" s="6">
        <v>2010</v>
      </c>
      <c r="D229" s="6" t="s">
        <v>1085</v>
      </c>
      <c r="E229" s="6" t="str">
        <f>HYPERLINK("https://www1.nyc.gov/assets/planning/download/pdf/about/cpc/100071.pdf","Open PDF")</f>
        <v>Open PDF</v>
      </c>
      <c r="F229" s="6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10"/>
      <c r="X229" s="6"/>
      <c r="Y229" s="6"/>
      <c r="Z229" s="6"/>
      <c r="AA229" s="6"/>
      <c r="AB229" s="6" t="s">
        <v>46</v>
      </c>
      <c r="AC229" s="6" t="s">
        <v>1086</v>
      </c>
      <c r="AD229" s="6" t="s">
        <v>1087</v>
      </c>
      <c r="AE229" s="6" t="s">
        <v>249</v>
      </c>
      <c r="AF229" s="6" t="s">
        <v>395</v>
      </c>
    </row>
    <row r="230" spans="1:32">
      <c r="A230" s="6" t="s">
        <v>1088</v>
      </c>
      <c r="B230" s="6" t="s">
        <v>1089</v>
      </c>
      <c r="C230" s="6">
        <v>1988</v>
      </c>
      <c r="D230" s="6" t="s">
        <v>1090</v>
      </c>
      <c r="E230" s="6" t="str">
        <f>HYPERLINK("https://www1.nyc.gov/assets/planning/download/pdf/about/cpc/870371.pdf","Open PDF")</f>
        <v>Open PDF</v>
      </c>
      <c r="F230" s="6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10"/>
      <c r="X230" s="6"/>
      <c r="Y230" s="6"/>
      <c r="Z230" s="6"/>
      <c r="AA230" s="6"/>
      <c r="AB230" s="6" t="s">
        <v>46</v>
      </c>
      <c r="AC230" s="6" t="s">
        <v>1091</v>
      </c>
      <c r="AD230" s="6" t="s">
        <v>1092</v>
      </c>
      <c r="AE230" s="6" t="s">
        <v>49</v>
      </c>
      <c r="AF230" s="6" t="s">
        <v>122</v>
      </c>
    </row>
    <row r="231" spans="1:32">
      <c r="A231" s="6" t="s">
        <v>1093</v>
      </c>
      <c r="B231" s="6" t="s">
        <v>1094</v>
      </c>
      <c r="C231" s="6">
        <v>2012</v>
      </c>
      <c r="D231" s="6" t="s">
        <v>1095</v>
      </c>
      <c r="E231" s="6" t="str">
        <f>HYPERLINK("https://www1.nyc.gov/assets/planning/download/pdf/about/cpc/070558.pdf","Open PDF")</f>
        <v>Open PDF</v>
      </c>
      <c r="F231" s="6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10"/>
      <c r="X231" s="6"/>
      <c r="Y231" s="6"/>
      <c r="Z231" s="6"/>
      <c r="AA231" s="6"/>
      <c r="AB231" s="6" t="s">
        <v>46</v>
      </c>
      <c r="AC231" s="6" t="s">
        <v>1096</v>
      </c>
      <c r="AD231" s="6" t="s">
        <v>1097</v>
      </c>
      <c r="AE231" s="6" t="s">
        <v>41</v>
      </c>
      <c r="AF231" s="6" t="s">
        <v>200</v>
      </c>
    </row>
    <row r="232" spans="1:32">
      <c r="A232" s="6" t="s">
        <v>1098</v>
      </c>
      <c r="B232" s="6" t="s">
        <v>1099</v>
      </c>
      <c r="C232" s="6">
        <v>2012</v>
      </c>
      <c r="D232" s="6" t="s">
        <v>1100</v>
      </c>
      <c r="E232" s="6" t="str">
        <f>HYPERLINK("https://www1.nyc.gov/assets/planning/download/pdf/about/cpc/120108.pdf","Open PDF")</f>
        <v>Open PDF</v>
      </c>
      <c r="F232" s="6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10"/>
      <c r="X232" s="6"/>
      <c r="Y232" s="6"/>
      <c r="Z232" s="6"/>
      <c r="AA232" s="6"/>
      <c r="AB232" s="6" t="s">
        <v>33</v>
      </c>
      <c r="AC232" s="6"/>
      <c r="AD232" s="6" t="s">
        <v>1101</v>
      </c>
      <c r="AE232" s="6" t="s">
        <v>49</v>
      </c>
      <c r="AF232" s="6" t="s">
        <v>1102</v>
      </c>
    </row>
    <row r="233" spans="1:32">
      <c r="A233" s="6" t="s">
        <v>1103</v>
      </c>
      <c r="B233" s="6" t="s">
        <v>1104</v>
      </c>
      <c r="C233" s="6">
        <v>2007</v>
      </c>
      <c r="D233" s="6" t="s">
        <v>1105</v>
      </c>
      <c r="E233" s="6" t="str">
        <f>HYPERLINK("https://www1.nyc.gov/assets/planning/download/pdf/about/cpc/070133.pdf","Open PDF")</f>
        <v>Open PDF</v>
      </c>
      <c r="F233" s="6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10"/>
      <c r="X233" s="6"/>
      <c r="Y233" s="6"/>
      <c r="Z233" s="6"/>
      <c r="AA233" s="6"/>
      <c r="AB233" s="6" t="s">
        <v>46</v>
      </c>
      <c r="AC233" s="6" t="s">
        <v>1106</v>
      </c>
      <c r="AD233" s="6" t="s">
        <v>1107</v>
      </c>
      <c r="AE233" s="6" t="s">
        <v>74</v>
      </c>
      <c r="AF233" s="6" t="s">
        <v>286</v>
      </c>
    </row>
    <row r="234" spans="1:32">
      <c r="A234" s="6" t="s">
        <v>1108</v>
      </c>
      <c r="B234" s="6" t="s">
        <v>1109</v>
      </c>
      <c r="C234" s="6">
        <v>2003</v>
      </c>
      <c r="D234" s="6" t="s">
        <v>1110</v>
      </c>
      <c r="E234" s="6" t="str">
        <f>HYPERLINK("https://www1.nyc.gov/assets/planning/download/pdf/about/cpc/030326.pdf","Open PDF")</f>
        <v>Open PDF</v>
      </c>
      <c r="F234" s="6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10"/>
      <c r="X234" s="6"/>
      <c r="Y234" s="6"/>
      <c r="Z234" s="6"/>
      <c r="AA234" s="6"/>
      <c r="AB234" s="6" t="s">
        <v>46</v>
      </c>
      <c r="AC234" s="6" t="s">
        <v>1111</v>
      </c>
      <c r="AD234" s="6" t="s">
        <v>1112</v>
      </c>
      <c r="AE234" s="6" t="s">
        <v>41</v>
      </c>
      <c r="AF234" s="6" t="s">
        <v>148</v>
      </c>
    </row>
    <row r="235" spans="1:32">
      <c r="A235" s="6" t="s">
        <v>1113</v>
      </c>
      <c r="B235" s="6" t="s">
        <v>1114</v>
      </c>
      <c r="C235" s="6">
        <v>2008</v>
      </c>
      <c r="D235" s="6" t="s">
        <v>1115</v>
      </c>
      <c r="E235" s="6" t="str">
        <f>HYPERLINK("https://www1.nyc.gov/assets/planning/download/pdf/about/cpc/080379.pdf","Open PDF")</f>
        <v>Open PDF</v>
      </c>
      <c r="F235" s="6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10"/>
      <c r="X235" s="6"/>
      <c r="Y235" s="6"/>
      <c r="Z235" s="6"/>
      <c r="AA235" s="6"/>
      <c r="AB235" s="6" t="s">
        <v>46</v>
      </c>
      <c r="AC235" s="6" t="s">
        <v>1116</v>
      </c>
      <c r="AD235" s="6" t="s">
        <v>1117</v>
      </c>
      <c r="AE235" s="6" t="s">
        <v>436</v>
      </c>
      <c r="AF235" s="6" t="s">
        <v>239</v>
      </c>
    </row>
    <row r="236" spans="1:32">
      <c r="A236" s="6" t="s">
        <v>1118</v>
      </c>
      <c r="B236" s="6" t="s">
        <v>1119</v>
      </c>
      <c r="C236" s="6">
        <v>2019</v>
      </c>
      <c r="D236" s="6" t="s">
        <v>1120</v>
      </c>
      <c r="E236" s="6" t="str">
        <f>HYPERLINK("https://www1.nyc.gov/assets/planning/download/pdf/about/cpc/190422.pdf","Open PDF")</f>
        <v>Open PDF</v>
      </c>
      <c r="F236" s="6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10"/>
      <c r="X236" s="6"/>
      <c r="Y236" s="6"/>
      <c r="Z236" s="6"/>
      <c r="AA236" s="6"/>
      <c r="AB236" s="6" t="s">
        <v>46</v>
      </c>
      <c r="AC236" s="6" t="s">
        <v>1121</v>
      </c>
      <c r="AD236" s="6" t="s">
        <v>1122</v>
      </c>
      <c r="AE236" s="6" t="s">
        <v>49</v>
      </c>
      <c r="AF236" s="6" t="s">
        <v>56</v>
      </c>
    </row>
    <row r="237" spans="1:32">
      <c r="A237" s="6" t="s">
        <v>1123</v>
      </c>
      <c r="B237" s="6" t="s">
        <v>1124</v>
      </c>
      <c r="C237" s="6">
        <v>2000</v>
      </c>
      <c r="D237" s="6" t="s">
        <v>1125</v>
      </c>
      <c r="E237" s="6" t="str">
        <f>HYPERLINK("https://www1.nyc.gov/assets/planning/download/pdf/about/cpc/000064.pdf","Open PDF")</f>
        <v>Open PDF</v>
      </c>
      <c r="F237" s="6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10"/>
      <c r="X237" s="6"/>
      <c r="Y237" s="6"/>
      <c r="Z237" s="6"/>
      <c r="AA237" s="6"/>
      <c r="AB237" s="6" t="s">
        <v>33</v>
      </c>
      <c r="AC237" s="6"/>
      <c r="AD237" s="6" t="s">
        <v>1126</v>
      </c>
      <c r="AE237" s="6" t="s">
        <v>41</v>
      </c>
      <c r="AF237" s="6" t="s">
        <v>131</v>
      </c>
    </row>
    <row r="238" spans="1:32">
      <c r="A238" s="6" t="s">
        <v>1127</v>
      </c>
      <c r="B238" s="6" t="s">
        <v>1128</v>
      </c>
      <c r="C238" s="6">
        <v>2013</v>
      </c>
      <c r="D238" s="6" t="s">
        <v>1129</v>
      </c>
      <c r="E238" s="6" t="str">
        <f>HYPERLINK("https://www1.nyc.gov/assets/planning/download/pdf/about/cpc/120201.pdf","Open PDF")</f>
        <v>Open PDF</v>
      </c>
      <c r="F238" s="6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10"/>
      <c r="X238" s="6"/>
      <c r="Y238" s="6"/>
      <c r="Z238" s="6"/>
      <c r="AA238" s="6"/>
      <c r="AB238" s="6" t="s">
        <v>33</v>
      </c>
      <c r="AC238" s="6"/>
      <c r="AD238" s="6" t="s">
        <v>1130</v>
      </c>
      <c r="AE238" s="6" t="s">
        <v>41</v>
      </c>
      <c r="AF238" s="6" t="s">
        <v>112</v>
      </c>
    </row>
    <row r="239" spans="1:32">
      <c r="A239" s="6" t="s">
        <v>1131</v>
      </c>
      <c r="B239" s="6" t="s">
        <v>1132</v>
      </c>
      <c r="C239" s="6">
        <v>1983</v>
      </c>
      <c r="D239" s="6" t="s">
        <v>1133</v>
      </c>
      <c r="E239" s="6" t="str">
        <f>HYPERLINK("https://www1.nyc.gov/assets/planning/download/pdf/about/cpc/821090.pdf","Open PDF")</f>
        <v>Open PDF</v>
      </c>
      <c r="F239" s="6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10"/>
      <c r="X239" s="6"/>
      <c r="Y239" s="6"/>
      <c r="Z239" s="6"/>
      <c r="AA239" s="6"/>
      <c r="AB239" s="6" t="s">
        <v>33</v>
      </c>
      <c r="AC239" s="6"/>
      <c r="AD239" s="6" t="s">
        <v>1134</v>
      </c>
      <c r="AE239" s="6" t="s">
        <v>41</v>
      </c>
      <c r="AF239" s="6" t="s">
        <v>112</v>
      </c>
    </row>
    <row r="240" spans="1:32">
      <c r="A240" s="6" t="s">
        <v>1135</v>
      </c>
      <c r="B240" s="6" t="s">
        <v>1136</v>
      </c>
      <c r="C240" s="6">
        <v>1982</v>
      </c>
      <c r="D240" s="6" t="s">
        <v>1137</v>
      </c>
      <c r="E240" s="6" t="str">
        <f>HYPERLINK("https://www1.nyc.gov/assets/planning/download/pdf/about/cpc/820876.pdf","Open PDF")</f>
        <v>Open PDF</v>
      </c>
      <c r="F240" s="6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10"/>
      <c r="X240" s="6"/>
      <c r="Y240" s="6"/>
      <c r="Z240" s="6"/>
      <c r="AA240" s="6"/>
      <c r="AB240" s="6" t="s">
        <v>33</v>
      </c>
      <c r="AC240" s="6"/>
      <c r="AD240" s="6" t="s">
        <v>1138</v>
      </c>
      <c r="AE240" s="6" t="s">
        <v>142</v>
      </c>
      <c r="AF240" s="6" t="s">
        <v>423</v>
      </c>
    </row>
    <row r="241" spans="1:32">
      <c r="A241" s="6" t="s">
        <v>1139</v>
      </c>
      <c r="B241" s="6" t="s">
        <v>206</v>
      </c>
      <c r="C241" s="6">
        <v>1988</v>
      </c>
      <c r="D241" s="6" t="s">
        <v>1140</v>
      </c>
      <c r="E241" s="6" t="str">
        <f>HYPERLINK("https://www1.nyc.gov/assets/planning/download/pdf/about/cpc/880067.pdf","Open PDF")</f>
        <v>Open PDF</v>
      </c>
      <c r="F241" s="6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10"/>
      <c r="X241" s="6"/>
      <c r="Y241" s="6"/>
      <c r="Z241" s="6"/>
      <c r="AA241" s="6"/>
      <c r="AB241" s="6" t="s">
        <v>33</v>
      </c>
      <c r="AC241" s="6"/>
      <c r="AD241" s="6" t="s">
        <v>1141</v>
      </c>
      <c r="AE241" s="6" t="s">
        <v>74</v>
      </c>
      <c r="AF241" s="6" t="s">
        <v>239</v>
      </c>
    </row>
    <row r="242" spans="1:32">
      <c r="A242" s="6" t="s">
        <v>1142</v>
      </c>
      <c r="B242" s="6" t="s">
        <v>1143</v>
      </c>
      <c r="C242" s="6">
        <v>2021</v>
      </c>
      <c r="D242" s="6" t="s">
        <v>1144</v>
      </c>
      <c r="E242" s="6" t="str">
        <f>HYPERLINK("https://www1.nyc.gov/assets/planning/download/pdf/about/cpc/200352.pdf","Open PDF")</f>
        <v>Open PDF</v>
      </c>
      <c r="F242" s="6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10"/>
      <c r="X242" s="6"/>
      <c r="Y242" s="6"/>
      <c r="Z242" s="6"/>
      <c r="AA242" s="6"/>
      <c r="AB242" s="6" t="s">
        <v>33</v>
      </c>
      <c r="AC242" s="6"/>
      <c r="AD242" s="6" t="s">
        <v>1145</v>
      </c>
      <c r="AE242" s="6" t="s">
        <v>41</v>
      </c>
      <c r="AF242" s="6" t="s">
        <v>258</v>
      </c>
    </row>
    <row r="243" spans="1:32">
      <c r="A243" s="6" t="s">
        <v>1146</v>
      </c>
      <c r="B243" s="6" t="s">
        <v>206</v>
      </c>
      <c r="C243" s="6">
        <v>1997</v>
      </c>
      <c r="D243" s="6" t="s">
        <v>1147</v>
      </c>
      <c r="E243" s="6" t="str">
        <f>HYPERLINK("https://www1.nyc.gov/assets/planning/download/pdf/about/cpc/970255.pdf","Open PDF")</f>
        <v>Open PDF</v>
      </c>
      <c r="F243" s="6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10"/>
      <c r="X243" s="6"/>
      <c r="Y243" s="6"/>
      <c r="Z243" s="6"/>
      <c r="AA243" s="6"/>
      <c r="AB243" s="6" t="s">
        <v>46</v>
      </c>
      <c r="AC243" s="6" t="s">
        <v>1148</v>
      </c>
      <c r="AD243" s="6" t="s">
        <v>1149</v>
      </c>
      <c r="AE243" s="6" t="s">
        <v>74</v>
      </c>
      <c r="AF243" s="6" t="s">
        <v>85</v>
      </c>
    </row>
    <row r="244" spans="1:32">
      <c r="A244" s="6" t="s">
        <v>1150</v>
      </c>
      <c r="B244" s="6" t="s">
        <v>1151</v>
      </c>
      <c r="C244" s="6">
        <v>2014</v>
      </c>
      <c r="D244" s="6" t="s">
        <v>1152</v>
      </c>
      <c r="E244" s="6" t="str">
        <f>HYPERLINK("https://www1.nyc.gov/assets/planning/download/pdf/about/cpc/140388.pdf","Open PDF")</f>
        <v>Open PDF</v>
      </c>
      <c r="F244" s="6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10"/>
      <c r="X244" s="6"/>
      <c r="Y244" s="6"/>
      <c r="Z244" s="6"/>
      <c r="AA244" s="6"/>
      <c r="AB244" s="6" t="s">
        <v>46</v>
      </c>
      <c r="AC244" s="6" t="s">
        <v>1153</v>
      </c>
      <c r="AD244" s="6" t="s">
        <v>1154</v>
      </c>
      <c r="AE244" s="6" t="s">
        <v>249</v>
      </c>
      <c r="AF244" s="6" t="s">
        <v>506</v>
      </c>
    </row>
    <row r="245" spans="1:32">
      <c r="A245" s="6" t="s">
        <v>1155</v>
      </c>
      <c r="B245" s="6" t="s">
        <v>1156</v>
      </c>
      <c r="C245" s="6">
        <v>1995</v>
      </c>
      <c r="D245" s="6" t="s">
        <v>1157</v>
      </c>
      <c r="E245" s="6" t="str">
        <f>HYPERLINK("https://www1.nyc.gov/assets/planning/download/pdf/about/cpc/950219.pdf","Open PDF")</f>
        <v>Open PDF</v>
      </c>
      <c r="F245" s="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10"/>
      <c r="X245" s="6"/>
      <c r="Y245" s="6"/>
      <c r="Z245" s="6"/>
      <c r="AA245" s="6"/>
      <c r="AB245" s="6" t="s">
        <v>33</v>
      </c>
      <c r="AC245" s="6"/>
      <c r="AD245" s="6" t="s">
        <v>1158</v>
      </c>
      <c r="AE245" s="6" t="s">
        <v>41</v>
      </c>
      <c r="AF245" s="6" t="s">
        <v>36</v>
      </c>
    </row>
    <row r="246" spans="1:32">
      <c r="A246" s="6" t="s">
        <v>1159</v>
      </c>
      <c r="B246" s="6" t="s">
        <v>1160</v>
      </c>
      <c r="C246" s="6">
        <v>2006</v>
      </c>
      <c r="D246" s="6" t="s">
        <v>1161</v>
      </c>
      <c r="E246" s="6" t="str">
        <f>HYPERLINK("https://www1.nyc.gov/assets/planning/download/pdf/about/cpc/060212.pdf","Open PDF")</f>
        <v>Open PDF</v>
      </c>
      <c r="F246" s="6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10"/>
      <c r="X246" s="6"/>
      <c r="Y246" s="6"/>
      <c r="Z246" s="6"/>
      <c r="AA246" s="6"/>
      <c r="AB246" s="6" t="s">
        <v>33</v>
      </c>
      <c r="AC246" s="6"/>
      <c r="AD246" s="6" t="s">
        <v>1162</v>
      </c>
      <c r="AE246" s="6" t="s">
        <v>188</v>
      </c>
      <c r="AF246" s="6" t="s">
        <v>298</v>
      </c>
    </row>
    <row r="247" spans="1:32">
      <c r="A247" s="6" t="s">
        <v>1163</v>
      </c>
      <c r="B247" s="6" t="s">
        <v>1164</v>
      </c>
      <c r="C247" s="6">
        <v>1994</v>
      </c>
      <c r="D247" s="6" t="s">
        <v>1165</v>
      </c>
      <c r="E247" s="6" t="str">
        <f>HYPERLINK("https://www1.nyc.gov/assets/planning/download/pdf/about/cpc/930169.pdf","Open PDF")</f>
        <v>Open PDF</v>
      </c>
      <c r="F247" s="6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10"/>
      <c r="X247" s="6"/>
      <c r="Y247" s="6"/>
      <c r="Z247" s="6"/>
      <c r="AA247" s="6"/>
      <c r="AB247" s="6" t="s">
        <v>33</v>
      </c>
      <c r="AC247" s="6"/>
      <c r="AD247" s="6" t="s">
        <v>1166</v>
      </c>
      <c r="AE247" s="6" t="s">
        <v>49</v>
      </c>
      <c r="AF247" s="6" t="s">
        <v>42</v>
      </c>
    </row>
    <row r="248" spans="1:32">
      <c r="A248" s="6" t="s">
        <v>1167</v>
      </c>
      <c r="B248" s="6" t="s">
        <v>1168</v>
      </c>
      <c r="C248" s="6">
        <v>2009</v>
      </c>
      <c r="D248" s="6" t="s">
        <v>1169</v>
      </c>
      <c r="E248" s="6" t="str">
        <f>HYPERLINK("https://www1.nyc.gov/assets/planning/download/pdf/about/cpc/090112.pdf","Open PDF")</f>
        <v>Open PDF</v>
      </c>
      <c r="F248" s="6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10"/>
      <c r="X248" s="6"/>
      <c r="Y248" s="6"/>
      <c r="Z248" s="6"/>
      <c r="AA248" s="6"/>
      <c r="AB248" s="6" t="s">
        <v>33</v>
      </c>
      <c r="AC248" s="6"/>
      <c r="AD248" s="6" t="s">
        <v>1170</v>
      </c>
      <c r="AE248" s="6" t="s">
        <v>49</v>
      </c>
      <c r="AF248" s="6" t="s">
        <v>106</v>
      </c>
    </row>
    <row r="249" spans="1:32">
      <c r="A249" s="6" t="s">
        <v>1171</v>
      </c>
      <c r="B249" s="6" t="s">
        <v>1172</v>
      </c>
      <c r="C249" s="6">
        <v>1986</v>
      </c>
      <c r="D249" s="6" t="s">
        <v>1173</v>
      </c>
      <c r="E249" s="6" t="str">
        <f>HYPERLINK("https://www1.nyc.gov/assets/planning/download/pdf/about/cpc/860391.pdf","Open PDF")</f>
        <v>Open PDF</v>
      </c>
      <c r="F249" s="6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10"/>
      <c r="X249" s="6"/>
      <c r="Y249" s="6"/>
      <c r="Z249" s="6"/>
      <c r="AA249" s="6"/>
      <c r="AB249" s="6" t="s">
        <v>33</v>
      </c>
      <c r="AC249" s="6"/>
      <c r="AD249" s="6" t="s">
        <v>1174</v>
      </c>
      <c r="AE249" s="6" t="s">
        <v>167</v>
      </c>
      <c r="AF249" s="6" t="s">
        <v>117</v>
      </c>
    </row>
    <row r="250" spans="1:32">
      <c r="A250" s="6" t="s">
        <v>1175</v>
      </c>
      <c r="B250" s="6" t="s">
        <v>1176</v>
      </c>
      <c r="C250" s="6">
        <v>2016</v>
      </c>
      <c r="D250" s="6" t="s">
        <v>1177</v>
      </c>
      <c r="E250" s="6" t="str">
        <f>HYPERLINK("https://www1.nyc.gov/assets/planning/download/pdf/about/cpc/160147.pdf","Open PDF")</f>
        <v>Open PDF</v>
      </c>
      <c r="F250" s="6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10"/>
      <c r="X250" s="6"/>
      <c r="Y250" s="6"/>
      <c r="Z250" s="6"/>
      <c r="AA250" s="6"/>
      <c r="AB250" s="6" t="s">
        <v>33</v>
      </c>
      <c r="AC250" s="6"/>
      <c r="AD250" s="6" t="s">
        <v>1178</v>
      </c>
      <c r="AE250" s="6" t="s">
        <v>182</v>
      </c>
      <c r="AF250" s="6" t="s">
        <v>117</v>
      </c>
    </row>
    <row r="251" spans="1:32">
      <c r="A251" s="6" t="s">
        <v>1179</v>
      </c>
      <c r="B251" s="6" t="s">
        <v>1180</v>
      </c>
      <c r="C251" s="6">
        <v>2023</v>
      </c>
      <c r="D251" s="6" t="s">
        <v>1181</v>
      </c>
      <c r="E251" s="6" t="str">
        <f>HYPERLINK("https://www1.nyc.gov/assets/planning/download/pdf/about/cpc/220306.pdf","Open PDF")</f>
        <v>Open PDF</v>
      </c>
      <c r="F251" s="6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10"/>
      <c r="X251" s="6"/>
      <c r="Y251" s="6"/>
      <c r="Z251" s="6"/>
      <c r="AA251" s="6"/>
      <c r="AB251" s="6" t="s">
        <v>33</v>
      </c>
      <c r="AC251" s="6"/>
      <c r="AD251" s="6" t="s">
        <v>1182</v>
      </c>
      <c r="AE251" s="6" t="s">
        <v>49</v>
      </c>
      <c r="AF251" s="6" t="s">
        <v>148</v>
      </c>
    </row>
    <row r="252" spans="1:32">
      <c r="A252" s="6" t="s">
        <v>1183</v>
      </c>
      <c r="B252" s="6" t="s">
        <v>1184</v>
      </c>
      <c r="C252" s="6">
        <v>1987</v>
      </c>
      <c r="D252" s="6" t="s">
        <v>1185</v>
      </c>
      <c r="E252" s="6" t="str">
        <f>HYPERLINK("https://www1.nyc.gov/assets/planning/download/pdf/about/cpc/870555.pdf","Open PDF")</f>
        <v>Open PDF</v>
      </c>
      <c r="F252" s="6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10"/>
      <c r="X252" s="6"/>
      <c r="Y252" s="6"/>
      <c r="Z252" s="6"/>
      <c r="AA252" s="6"/>
      <c r="AB252" s="6" t="s">
        <v>33</v>
      </c>
      <c r="AC252" s="6"/>
      <c r="AD252" s="6" t="s">
        <v>1186</v>
      </c>
      <c r="AE252" s="6" t="s">
        <v>142</v>
      </c>
      <c r="AF252" s="6" t="s">
        <v>316</v>
      </c>
    </row>
    <row r="253" spans="1:32">
      <c r="A253" s="6" t="s">
        <v>1187</v>
      </c>
      <c r="B253" s="6" t="s">
        <v>1188</v>
      </c>
      <c r="C253" s="6">
        <v>2009</v>
      </c>
      <c r="D253" s="6" t="s">
        <v>1189</v>
      </c>
      <c r="E253" s="6" t="str">
        <f>HYPERLINK("https://www1.nyc.gov/assets/planning/download/pdf/about/cpc/090103.pdf","Open PDF")</f>
        <v>Open PDF</v>
      </c>
      <c r="F253" s="6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10"/>
      <c r="X253" s="6"/>
      <c r="Y253" s="6"/>
      <c r="Z253" s="6"/>
      <c r="AA253" s="6"/>
      <c r="AB253" s="6" t="s">
        <v>33</v>
      </c>
      <c r="AC253" s="6"/>
      <c r="AD253" s="6" t="s">
        <v>1190</v>
      </c>
      <c r="AE253" s="6" t="s">
        <v>182</v>
      </c>
      <c r="AF253" s="6" t="s">
        <v>56</v>
      </c>
    </row>
    <row r="254" spans="1:32">
      <c r="A254" s="6" t="s">
        <v>1191</v>
      </c>
      <c r="B254" s="6" t="s">
        <v>1192</v>
      </c>
      <c r="C254" s="6">
        <v>1987</v>
      </c>
      <c r="D254" s="6" t="s">
        <v>1193</v>
      </c>
      <c r="E254" s="6" t="str">
        <f>HYPERLINK("https://www1.nyc.gov/assets/planning/download/pdf/about/cpc/870650.pdf","Open PDF")</f>
        <v>Open PDF</v>
      </c>
      <c r="F254" s="6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10"/>
      <c r="X254" s="6"/>
      <c r="Y254" s="6"/>
      <c r="Z254" s="6"/>
      <c r="AA254" s="6"/>
      <c r="AB254" s="6" t="s">
        <v>46</v>
      </c>
      <c r="AC254" s="6" t="s">
        <v>1194</v>
      </c>
      <c r="AD254" s="6" t="s">
        <v>1195</v>
      </c>
      <c r="AE254" s="6" t="s">
        <v>41</v>
      </c>
      <c r="AF254" s="6" t="s">
        <v>68</v>
      </c>
    </row>
    <row r="255" spans="1:32">
      <c r="A255" s="6" t="s">
        <v>1196</v>
      </c>
      <c r="B255" s="6" t="s">
        <v>1197</v>
      </c>
      <c r="C255" s="6">
        <v>1999</v>
      </c>
      <c r="D255" s="6" t="s">
        <v>1198</v>
      </c>
      <c r="E255" s="6" t="str">
        <f>HYPERLINK("https://www1.nyc.gov/assets/planning/download/pdf/about/cpc/990192.pdf","Open PDF")</f>
        <v>Open PDF</v>
      </c>
      <c r="F255" s="6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10"/>
      <c r="X255" s="6"/>
      <c r="Y255" s="6"/>
      <c r="Z255" s="6"/>
      <c r="AA255" s="6"/>
      <c r="AB255" s="6" t="s">
        <v>46</v>
      </c>
      <c r="AC255" s="6" t="s">
        <v>1199</v>
      </c>
      <c r="AD255" s="6" t="s">
        <v>1200</v>
      </c>
      <c r="AE255" s="6" t="s">
        <v>41</v>
      </c>
      <c r="AF255" s="6" t="s">
        <v>1201</v>
      </c>
    </row>
    <row r="256" spans="1:32">
      <c r="A256" s="6" t="s">
        <v>1202</v>
      </c>
      <c r="B256" s="6" t="s">
        <v>1203</v>
      </c>
      <c r="C256" s="6">
        <v>1980</v>
      </c>
      <c r="D256" s="6" t="s">
        <v>1204</v>
      </c>
      <c r="E256" s="6" t="str">
        <f>HYPERLINK("https://www1.nyc.gov/assets/planning/download/pdf/about/cpc/800163.pdf","Open PDF")</f>
        <v>Open PDF</v>
      </c>
      <c r="F256" s="6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10"/>
      <c r="X256" s="6"/>
      <c r="Y256" s="6"/>
      <c r="Z256" s="6"/>
      <c r="AA256" s="6"/>
      <c r="AB256" s="6" t="s">
        <v>33</v>
      </c>
      <c r="AC256" s="6"/>
      <c r="AD256" s="6" t="s">
        <v>1205</v>
      </c>
      <c r="AE256" s="6" t="s">
        <v>167</v>
      </c>
      <c r="AF256" s="6" t="s">
        <v>117</v>
      </c>
    </row>
    <row r="257" spans="1:32">
      <c r="A257" s="6" t="s">
        <v>1206</v>
      </c>
      <c r="B257" s="6" t="s">
        <v>1207</v>
      </c>
      <c r="C257" s="6">
        <v>1997</v>
      </c>
      <c r="D257" s="6" t="s">
        <v>1208</v>
      </c>
      <c r="E257" s="6" t="str">
        <f>HYPERLINK("https://www1.nyc.gov/assets/planning/download/pdf/about/cpc/950223.pdf","Open PDF")</f>
        <v>Open PDF</v>
      </c>
      <c r="F257" s="6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10"/>
      <c r="X257" s="6"/>
      <c r="Y257" s="6"/>
      <c r="Z257" s="6"/>
      <c r="AA257" s="6"/>
      <c r="AB257" s="6" t="s">
        <v>33</v>
      </c>
      <c r="AC257" s="6"/>
      <c r="AD257" s="6" t="s">
        <v>1209</v>
      </c>
      <c r="AE257" s="6" t="s">
        <v>67</v>
      </c>
      <c r="AF257" s="6" t="s">
        <v>68</v>
      </c>
    </row>
    <row r="258" spans="1:32">
      <c r="A258" s="6" t="s">
        <v>1210</v>
      </c>
      <c r="B258" s="6" t="s">
        <v>1211</v>
      </c>
      <c r="C258" s="6">
        <v>1998</v>
      </c>
      <c r="D258" s="6" t="s">
        <v>1212</v>
      </c>
      <c r="E258" s="6" t="str">
        <f>HYPERLINK("https://www1.nyc.gov/assets/planning/download/pdf/about/cpc/980562.pdf","Open PDF")</f>
        <v>Open PDF</v>
      </c>
      <c r="F258" s="6"/>
      <c r="G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10"/>
      <c r="X258" s="6"/>
      <c r="Y258" s="6"/>
      <c r="Z258" s="6"/>
      <c r="AA258" s="6"/>
      <c r="AB258" s="6" t="s">
        <v>33</v>
      </c>
      <c r="AC258" s="6"/>
      <c r="AD258" s="6" t="s">
        <v>1213</v>
      </c>
      <c r="AE258" s="6" t="s">
        <v>49</v>
      </c>
      <c r="AF258" s="6" t="s">
        <v>117</v>
      </c>
    </row>
    <row r="259" spans="1:32">
      <c r="A259" s="6" t="s">
        <v>1214</v>
      </c>
      <c r="B259" s="6" t="s">
        <v>1215</v>
      </c>
      <c r="C259" s="6">
        <v>2005</v>
      </c>
      <c r="D259" s="6" t="s">
        <v>1216</v>
      </c>
      <c r="E259" s="6" t="str">
        <f>HYPERLINK("https://www1.nyc.gov/assets/planning/download/pdf/about/cpc/040540.pdf","Open PDF")</f>
        <v>Open PDF</v>
      </c>
      <c r="F259" s="6"/>
      <c r="G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10"/>
      <c r="X259" s="6"/>
      <c r="Y259" s="6"/>
      <c r="Z259" s="6"/>
      <c r="AA259" s="6"/>
      <c r="AB259" s="6" t="s">
        <v>46</v>
      </c>
      <c r="AC259" s="6" t="s">
        <v>1217</v>
      </c>
      <c r="AD259" s="6" t="s">
        <v>1218</v>
      </c>
      <c r="AE259" s="6" t="s">
        <v>249</v>
      </c>
      <c r="AF259" s="6" t="s">
        <v>239</v>
      </c>
    </row>
    <row r="260" spans="1:32">
      <c r="A260" s="6" t="s">
        <v>1219</v>
      </c>
      <c r="B260" s="6" t="s">
        <v>1220</v>
      </c>
      <c r="C260" s="6">
        <v>2006</v>
      </c>
      <c r="D260" s="6" t="s">
        <v>1221</v>
      </c>
      <c r="E260" s="6" t="str">
        <f>HYPERLINK("https://www1.nyc.gov/assets/planning/download/pdf/about/cpc/060180.pdf","Open PDF")</f>
        <v>Open PDF</v>
      </c>
      <c r="F260" s="6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10"/>
      <c r="X260" s="6"/>
      <c r="Y260" s="6"/>
      <c r="Z260" s="6"/>
      <c r="AA260" s="6"/>
      <c r="AB260" s="6" t="s">
        <v>46</v>
      </c>
      <c r="AC260" s="6" t="s">
        <v>1222</v>
      </c>
      <c r="AD260" s="6" t="s">
        <v>1223</v>
      </c>
      <c r="AE260" s="6" t="s">
        <v>49</v>
      </c>
      <c r="AF260" s="6" t="s">
        <v>80</v>
      </c>
    </row>
    <row r="261" spans="1:32">
      <c r="A261" s="6" t="s">
        <v>1224</v>
      </c>
      <c r="B261" s="6" t="s">
        <v>1225</v>
      </c>
      <c r="C261" s="6">
        <v>2013</v>
      </c>
      <c r="D261" s="6" t="s">
        <v>1226</v>
      </c>
      <c r="E261" s="6" t="str">
        <f>HYPERLINK("https://www1.nyc.gov/assets/planning/download/pdf/about/cpc/130272.pdf","Open PDF")</f>
        <v>Open PDF</v>
      </c>
      <c r="F261" s="6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10"/>
      <c r="X261" s="6"/>
      <c r="Y261" s="6"/>
      <c r="Z261" s="6"/>
      <c r="AA261" s="6"/>
      <c r="AB261" s="6" t="s">
        <v>46</v>
      </c>
      <c r="AC261" s="6" t="s">
        <v>1227</v>
      </c>
      <c r="AD261" s="6" t="s">
        <v>1228</v>
      </c>
      <c r="AE261" s="6" t="s">
        <v>188</v>
      </c>
      <c r="AF261" s="6" t="s">
        <v>298</v>
      </c>
    </row>
    <row r="262" spans="1:32">
      <c r="A262" s="6" t="s">
        <v>1229</v>
      </c>
      <c r="B262" s="6" t="s">
        <v>1230</v>
      </c>
      <c r="C262" s="6">
        <v>2024</v>
      </c>
      <c r="D262" s="6" t="s">
        <v>1231</v>
      </c>
      <c r="E262" s="6" t="str">
        <f>HYPERLINK("https://www1.nyc.gov/assets/planning/download/pdf/about/cpc/230337.pdf","Open PDF")</f>
        <v>Open PDF</v>
      </c>
      <c r="F262" s="6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10"/>
      <c r="X262" s="6"/>
      <c r="Y262" s="6"/>
      <c r="Z262" s="6"/>
      <c r="AA262" s="6"/>
      <c r="AB262" s="6" t="s">
        <v>33</v>
      </c>
      <c r="AC262" s="6"/>
      <c r="AD262" s="6" t="s">
        <v>1232</v>
      </c>
      <c r="AE262" s="6" t="s">
        <v>49</v>
      </c>
      <c r="AF262" s="6" t="s">
        <v>194</v>
      </c>
    </row>
    <row r="263" spans="1:32">
      <c r="A263" s="6" t="s">
        <v>1233</v>
      </c>
      <c r="B263" s="6" t="s">
        <v>1234</v>
      </c>
      <c r="C263" s="6">
        <v>1989</v>
      </c>
      <c r="D263" s="6" t="s">
        <v>1235</v>
      </c>
      <c r="E263" s="6" t="str">
        <f>HYPERLINK("https://www1.nyc.gov/assets/planning/download/pdf/about/cpc/890619.pdf","Open PDF")</f>
        <v>Open PDF</v>
      </c>
      <c r="F263" s="6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10"/>
      <c r="X263" s="6"/>
      <c r="Y263" s="6"/>
      <c r="Z263" s="6"/>
      <c r="AA263" s="6"/>
      <c r="AB263" s="6" t="s">
        <v>46</v>
      </c>
      <c r="AC263" s="6" t="s">
        <v>1236</v>
      </c>
      <c r="AD263" s="6" t="s">
        <v>1237</v>
      </c>
      <c r="AE263" s="6" t="s">
        <v>436</v>
      </c>
      <c r="AF263" s="6" t="s">
        <v>122</v>
      </c>
    </row>
    <row r="264" spans="1:32">
      <c r="A264" s="6" t="s">
        <v>1238</v>
      </c>
      <c r="B264" s="6" t="s">
        <v>206</v>
      </c>
      <c r="C264" s="6">
        <v>1996</v>
      </c>
      <c r="D264" s="6" t="s">
        <v>1239</v>
      </c>
      <c r="E264" s="6" t="str">
        <f>HYPERLINK("https://www1.nyc.gov/assets/planning/download/pdf/about/cpc/970031.pdf","Open PDF")</f>
        <v>Open PDF</v>
      </c>
      <c r="F264" s="6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10"/>
      <c r="X264" s="6"/>
      <c r="Y264" s="6"/>
      <c r="Z264" s="6"/>
      <c r="AA264" s="6"/>
      <c r="AB264" s="6" t="s">
        <v>33</v>
      </c>
      <c r="AC264" s="6"/>
      <c r="AD264" s="6" t="s">
        <v>1240</v>
      </c>
      <c r="AE264" s="6" t="s">
        <v>74</v>
      </c>
      <c r="AF264" s="6" t="s">
        <v>470</v>
      </c>
    </row>
    <row r="265" spans="1:32">
      <c r="A265" s="6" t="s">
        <v>1241</v>
      </c>
      <c r="B265" s="6" t="s">
        <v>1242</v>
      </c>
      <c r="C265" s="6">
        <v>1987</v>
      </c>
      <c r="D265" s="6" t="s">
        <v>1243</v>
      </c>
      <c r="E265" s="6" t="str">
        <f>HYPERLINK("https://www1.nyc.gov/assets/planning/download/pdf/about/cpc/870346.pdf","Open PDF")</f>
        <v>Open PDF</v>
      </c>
      <c r="F265" s="6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10"/>
      <c r="X265" s="6"/>
      <c r="Y265" s="6"/>
      <c r="Z265" s="6"/>
      <c r="AA265" s="6"/>
      <c r="AB265" s="6" t="s">
        <v>33</v>
      </c>
      <c r="AC265" s="6"/>
      <c r="AD265" s="6" t="s">
        <v>1244</v>
      </c>
      <c r="AE265" s="6" t="s">
        <v>322</v>
      </c>
      <c r="AF265" s="6" t="s">
        <v>137</v>
      </c>
    </row>
    <row r="266" spans="1:32">
      <c r="A266" s="6" t="s">
        <v>1245</v>
      </c>
      <c r="B266" s="6" t="s">
        <v>1246</v>
      </c>
      <c r="C266" s="6">
        <v>2025</v>
      </c>
      <c r="D266" s="6" t="s">
        <v>1247</v>
      </c>
      <c r="E266" s="6" t="str">
        <f>HYPERLINK("https://www1.nyc.gov/assets/planning/download/pdf/about/cpc/240097.pdf","Open PDF")</f>
        <v>Open PDF</v>
      </c>
      <c r="F266" s="6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10"/>
      <c r="X266" s="6"/>
      <c r="Y266" s="6"/>
      <c r="Z266" s="6"/>
      <c r="AA266" s="6"/>
      <c r="AB266" s="6" t="s">
        <v>33</v>
      </c>
      <c r="AC266" s="6"/>
      <c r="AD266" s="6" t="s">
        <v>1248</v>
      </c>
      <c r="AE266" s="6" t="s">
        <v>67</v>
      </c>
      <c r="AF266" s="6" t="s">
        <v>42</v>
      </c>
    </row>
    <row r="267" spans="1:32">
      <c r="A267" s="6" t="s">
        <v>1249</v>
      </c>
      <c r="B267" s="6" t="s">
        <v>1250</v>
      </c>
      <c r="C267" s="6">
        <v>1998</v>
      </c>
      <c r="D267" s="6" t="s">
        <v>1251</v>
      </c>
      <c r="E267" s="6" t="str">
        <f>HYPERLINK("https://www1.nyc.gov/assets/planning/download/pdf/about/cpc/970338.pdf","Open PDF")</f>
        <v>Open PDF</v>
      </c>
      <c r="F267" s="6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10"/>
      <c r="X267" s="6"/>
      <c r="Y267" s="6"/>
      <c r="Z267" s="6"/>
      <c r="AA267" s="6"/>
      <c r="AB267" s="6" t="s">
        <v>33</v>
      </c>
      <c r="AC267" s="6"/>
      <c r="AD267" s="6" t="s">
        <v>1252</v>
      </c>
      <c r="AE267" s="6" t="s">
        <v>61</v>
      </c>
      <c r="AF267" s="6" t="s">
        <v>122</v>
      </c>
    </row>
    <row r="268" spans="1:32">
      <c r="A268" s="6" t="s">
        <v>1253</v>
      </c>
      <c r="B268" s="6" t="s">
        <v>1254</v>
      </c>
      <c r="C268" s="6">
        <v>1981</v>
      </c>
      <c r="D268" s="6" t="s">
        <v>1255</v>
      </c>
      <c r="E268" s="6" t="str">
        <f>HYPERLINK("https://www1.nyc.gov/assets/planning/download/pdf/about/cpc/810418.pdf","Open PDF")</f>
        <v>Open PDF</v>
      </c>
      <c r="F268" s="6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10"/>
      <c r="X268" s="6"/>
      <c r="Y268" s="6"/>
      <c r="Z268" s="6"/>
      <c r="AA268" s="6"/>
      <c r="AB268" s="6" t="s">
        <v>33</v>
      </c>
      <c r="AC268" s="6"/>
      <c r="AD268" s="6" t="s">
        <v>1256</v>
      </c>
      <c r="AE268" s="6" t="s">
        <v>67</v>
      </c>
      <c r="AF268" s="6" t="s">
        <v>194</v>
      </c>
    </row>
    <row r="269" spans="1:32">
      <c r="A269" s="6" t="s">
        <v>1257</v>
      </c>
      <c r="B269" s="6" t="s">
        <v>1258</v>
      </c>
      <c r="C269" s="6">
        <v>2004</v>
      </c>
      <c r="D269" s="6" t="s">
        <v>1259</v>
      </c>
      <c r="E269" s="6" t="str">
        <f>HYPERLINK("https://www1.nyc.gov/assets/planning/download/pdf/about/cpc/030449.pdf","Open PDF")</f>
        <v>Open PDF</v>
      </c>
      <c r="F269" s="6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10"/>
      <c r="X269" s="6"/>
      <c r="Y269" s="6"/>
      <c r="Z269" s="6"/>
      <c r="AA269" s="6"/>
      <c r="AB269" s="6" t="s">
        <v>33</v>
      </c>
      <c r="AC269" s="6"/>
      <c r="AD269" s="6" t="s">
        <v>1260</v>
      </c>
      <c r="AE269" s="6" t="s">
        <v>49</v>
      </c>
      <c r="AF269" s="6" t="s">
        <v>50</v>
      </c>
    </row>
    <row r="270" spans="1:32">
      <c r="A270" s="6" t="s">
        <v>1261</v>
      </c>
      <c r="B270" s="6" t="s">
        <v>1262</v>
      </c>
      <c r="C270" s="6">
        <v>2022</v>
      </c>
      <c r="D270" s="6" t="s">
        <v>1263</v>
      </c>
      <c r="E270" s="6" t="str">
        <f>HYPERLINK("https://www1.nyc.gov/assets/planning/download/pdf/about/cpc/210174.pdf","Open PDF")</f>
        <v>Open PDF</v>
      </c>
      <c r="F270" s="6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10"/>
      <c r="X270" s="6"/>
      <c r="Y270" s="6"/>
      <c r="Z270" s="6"/>
      <c r="AA270" s="6"/>
      <c r="AB270" s="6" t="s">
        <v>46</v>
      </c>
      <c r="AC270" s="6" t="s">
        <v>1264</v>
      </c>
      <c r="AD270" s="6" t="s">
        <v>1265</v>
      </c>
      <c r="AE270" s="6" t="s">
        <v>49</v>
      </c>
      <c r="AF270" s="6" t="s">
        <v>705</v>
      </c>
    </row>
    <row r="271" spans="1:32">
      <c r="A271" s="6" t="s">
        <v>1266</v>
      </c>
      <c r="B271" s="6" t="s">
        <v>1267</v>
      </c>
      <c r="C271" s="6">
        <v>2021</v>
      </c>
      <c r="D271" s="6" t="s">
        <v>1268</v>
      </c>
      <c r="E271" s="6" t="str">
        <f>HYPERLINK("https://www1.nyc.gov/assets/planning/download/pdf/about/cpc/200230.pdf","Open PDF")</f>
        <v>Open PDF</v>
      </c>
      <c r="F271" s="6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10"/>
      <c r="X271" s="6"/>
      <c r="Y271" s="6"/>
      <c r="Z271" s="6"/>
      <c r="AA271" s="6"/>
      <c r="AB271" s="6" t="s">
        <v>33</v>
      </c>
      <c r="AC271" s="6"/>
      <c r="AD271" s="6" t="s">
        <v>1269</v>
      </c>
      <c r="AE271" s="6" t="s">
        <v>49</v>
      </c>
      <c r="AF271" s="6" t="s">
        <v>68</v>
      </c>
    </row>
    <row r="272" spans="1:32">
      <c r="A272" s="6" t="s">
        <v>1270</v>
      </c>
      <c r="B272" s="6" t="s">
        <v>1271</v>
      </c>
      <c r="C272" s="6">
        <v>2017</v>
      </c>
      <c r="D272" s="6" t="s">
        <v>1272</v>
      </c>
      <c r="E272" s="6" t="str">
        <f>HYPERLINK("https://www1.nyc.gov/assets/planning/download/pdf/about/cpc/170452.pdf","Open PDF")</f>
        <v>Open PDF</v>
      </c>
      <c r="F272" s="6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10"/>
      <c r="X272" s="6"/>
      <c r="Y272" s="6"/>
      <c r="Z272" s="6"/>
      <c r="AA272" s="6"/>
      <c r="AB272" s="6" t="s">
        <v>46</v>
      </c>
      <c r="AC272" s="6" t="s">
        <v>1273</v>
      </c>
      <c r="AD272" s="6" t="s">
        <v>1274</v>
      </c>
      <c r="AE272" s="6" t="s">
        <v>41</v>
      </c>
      <c r="AF272" s="6" t="s">
        <v>131</v>
      </c>
    </row>
    <row r="273" spans="1:32">
      <c r="A273" s="6" t="s">
        <v>1275</v>
      </c>
      <c r="B273" s="6" t="s">
        <v>1276</v>
      </c>
      <c r="C273" s="6">
        <v>1976</v>
      </c>
      <c r="D273" s="6" t="s">
        <v>1277</v>
      </c>
      <c r="E273" s="6" t="str">
        <f>HYPERLINK("https://www1.nyc.gov/assets/planning/download/pdf/about/cpc/760047.pdf","Open PDF")</f>
        <v>Open PDF</v>
      </c>
      <c r="F273" s="6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10"/>
      <c r="X273" s="6"/>
      <c r="Y273" s="6"/>
      <c r="Z273" s="6"/>
      <c r="AA273" s="6"/>
      <c r="AB273" s="6" t="s">
        <v>33</v>
      </c>
      <c r="AC273" s="6"/>
      <c r="AD273" s="6" t="s">
        <v>1278</v>
      </c>
      <c r="AE273" s="6" t="s">
        <v>1279</v>
      </c>
      <c r="AF273" s="6" t="s">
        <v>36</v>
      </c>
    </row>
    <row r="274" spans="1:32">
      <c r="A274" s="6" t="s">
        <v>1280</v>
      </c>
      <c r="B274" s="6" t="s">
        <v>1281</v>
      </c>
      <c r="C274" s="6">
        <v>1976</v>
      </c>
      <c r="D274" s="6" t="s">
        <v>1282</v>
      </c>
      <c r="E274" s="6" t="str">
        <f>HYPERLINK("https://www1.nyc.gov/assets/planning/download/pdf/about/cpc/760138.pdf","Open PDF")</f>
        <v>Open PDF</v>
      </c>
      <c r="F274" s="6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10"/>
      <c r="X274" s="6"/>
      <c r="Y274" s="6"/>
      <c r="Z274" s="6"/>
      <c r="AA274" s="6"/>
      <c r="AB274" s="6" t="s">
        <v>33</v>
      </c>
      <c r="AC274" s="6"/>
      <c r="AD274" s="6" t="s">
        <v>1283</v>
      </c>
      <c r="AE274" s="6" t="s">
        <v>41</v>
      </c>
      <c r="AF274" s="6" t="s">
        <v>42</v>
      </c>
    </row>
    <row r="275" spans="1:32">
      <c r="A275" s="6" t="s">
        <v>1284</v>
      </c>
      <c r="B275" s="6" t="s">
        <v>1285</v>
      </c>
      <c r="C275" s="6">
        <v>2002</v>
      </c>
      <c r="D275" s="6" t="s">
        <v>1286</v>
      </c>
      <c r="E275" s="6" t="str">
        <f>HYPERLINK("https://www1.nyc.gov/assets/planning/download/pdf/about/cpc/020416.pdf","Open PDF")</f>
        <v>Open PDF</v>
      </c>
      <c r="F275" s="6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10"/>
      <c r="X275" s="6"/>
      <c r="Y275" s="6"/>
      <c r="Z275" s="6"/>
      <c r="AA275" s="6"/>
      <c r="AB275" s="6" t="s">
        <v>46</v>
      </c>
      <c r="AC275" s="6" t="s">
        <v>1287</v>
      </c>
      <c r="AD275" s="6" t="s">
        <v>1288</v>
      </c>
      <c r="AE275" s="6" t="s">
        <v>366</v>
      </c>
      <c r="AF275" s="6" t="s">
        <v>210</v>
      </c>
    </row>
    <row r="276" spans="1:32">
      <c r="A276" s="6" t="s">
        <v>1289</v>
      </c>
      <c r="B276" s="6" t="s">
        <v>1290</v>
      </c>
      <c r="C276" s="6">
        <v>1981</v>
      </c>
      <c r="D276" s="6" t="s">
        <v>1291</v>
      </c>
      <c r="E276" s="6" t="str">
        <f>HYPERLINK("https://www1.nyc.gov/assets/planning/download/pdf/about/cpc/800949.pdf","Open PDF")</f>
        <v>Open PDF</v>
      </c>
      <c r="F276" s="6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10"/>
      <c r="X276" s="6"/>
      <c r="Y276" s="6"/>
      <c r="Z276" s="6"/>
      <c r="AA276" s="6"/>
      <c r="AB276" s="6" t="s">
        <v>33</v>
      </c>
      <c r="AC276" s="6"/>
      <c r="AD276" s="6" t="s">
        <v>1292</v>
      </c>
      <c r="AE276" s="6" t="s">
        <v>74</v>
      </c>
      <c r="AF276" s="6" t="s">
        <v>85</v>
      </c>
    </row>
    <row r="277" spans="1:32">
      <c r="A277" s="6" t="s">
        <v>1293</v>
      </c>
      <c r="B277" s="6" t="s">
        <v>1294</v>
      </c>
      <c r="C277" s="6">
        <v>1995</v>
      </c>
      <c r="D277" s="6" t="s">
        <v>1295</v>
      </c>
      <c r="E277" s="6" t="str">
        <f>HYPERLINK("https://www1.nyc.gov/assets/planning/download/pdf/about/cpc/910422.pdf","Open PDF")</f>
        <v>Open PDF</v>
      </c>
      <c r="F277" s="6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10"/>
      <c r="X277" s="6"/>
      <c r="Y277" s="6"/>
      <c r="Z277" s="6"/>
      <c r="AA277" s="6"/>
      <c r="AB277" s="6" t="s">
        <v>46</v>
      </c>
      <c r="AC277" s="6" t="s">
        <v>1296</v>
      </c>
      <c r="AD277" s="6" t="s">
        <v>1297</v>
      </c>
      <c r="AE277" s="6" t="s">
        <v>67</v>
      </c>
      <c r="AF277" s="6" t="s">
        <v>1298</v>
      </c>
    </row>
    <row r="278" spans="1:32">
      <c r="A278" s="6" t="s">
        <v>1299</v>
      </c>
      <c r="B278" s="6" t="s">
        <v>1300</v>
      </c>
      <c r="C278" s="6">
        <v>2015</v>
      </c>
      <c r="D278" s="6" t="s">
        <v>1301</v>
      </c>
      <c r="E278" s="6" t="str">
        <f>HYPERLINK("https://www1.nyc.gov/assets/planning/download/pdf/about/cpc/150173.pdf","Open PDF")</f>
        <v>Open PDF</v>
      </c>
      <c r="F278" s="6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10"/>
      <c r="X278" s="6"/>
      <c r="Y278" s="6"/>
      <c r="Z278" s="6"/>
      <c r="AA278" s="6"/>
      <c r="AB278" s="6" t="s">
        <v>33</v>
      </c>
      <c r="AC278" s="6"/>
      <c r="AD278" s="6" t="s">
        <v>1302</v>
      </c>
      <c r="AE278" s="6" t="s">
        <v>74</v>
      </c>
      <c r="AF278" s="6" t="s">
        <v>183</v>
      </c>
    </row>
    <row r="279" spans="1:32">
      <c r="A279" s="6" t="s">
        <v>1303</v>
      </c>
      <c r="B279" s="6" t="s">
        <v>1304</v>
      </c>
      <c r="C279" s="6">
        <v>2001</v>
      </c>
      <c r="D279" s="6" t="s">
        <v>1305</v>
      </c>
      <c r="E279" s="6" t="str">
        <f>HYPERLINK("https://www1.nyc.gov/assets/planning/download/pdf/about/cpc/010506.pdf","Open PDF")</f>
        <v>Open PDF</v>
      </c>
      <c r="F279" s="6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10"/>
      <c r="X279" s="6"/>
      <c r="Y279" s="6"/>
      <c r="Z279" s="6"/>
      <c r="AA279" s="6"/>
      <c r="AB279" s="6" t="s">
        <v>33</v>
      </c>
      <c r="AC279" s="6"/>
      <c r="AD279" s="6" t="s">
        <v>1306</v>
      </c>
      <c r="AE279" s="6" t="s">
        <v>61</v>
      </c>
      <c r="AF279" s="6" t="s">
        <v>148</v>
      </c>
    </row>
    <row r="280" spans="1:32">
      <c r="A280" s="6" t="s">
        <v>1307</v>
      </c>
      <c r="B280" s="6" t="s">
        <v>1308</v>
      </c>
      <c r="C280" s="6">
        <v>2004</v>
      </c>
      <c r="D280" s="6" t="s">
        <v>1309</v>
      </c>
      <c r="E280" s="6" t="str">
        <f>HYPERLINK("https://www1.nyc.gov/assets/planning/download/pdf/about/cpc/040218.pdf","Open PDF")</f>
        <v>Open PDF</v>
      </c>
      <c r="F280" s="6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10"/>
      <c r="X280" s="6"/>
      <c r="Y280" s="6"/>
      <c r="Z280" s="6"/>
      <c r="AA280" s="6"/>
      <c r="AB280" s="6" t="s">
        <v>33</v>
      </c>
      <c r="AC280" s="6"/>
      <c r="AD280" s="6" t="s">
        <v>1310</v>
      </c>
      <c r="AE280" s="6" t="s">
        <v>188</v>
      </c>
      <c r="AF280" s="6" t="s">
        <v>506</v>
      </c>
    </row>
    <row r="281" spans="1:32">
      <c r="A281" s="6" t="s">
        <v>1311</v>
      </c>
      <c r="B281" s="6" t="s">
        <v>1312</v>
      </c>
      <c r="C281" s="6">
        <v>2007</v>
      </c>
      <c r="D281" s="6" t="s">
        <v>1313</v>
      </c>
      <c r="E281" s="6" t="str">
        <f>HYPERLINK("https://www1.nyc.gov/assets/planning/download/pdf/about/cpc/070278.pdf","Open PDF")</f>
        <v>Open PDF</v>
      </c>
      <c r="F281" s="6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10"/>
      <c r="X281" s="6"/>
      <c r="Y281" s="6"/>
      <c r="Z281" s="6"/>
      <c r="AA281" s="6"/>
      <c r="AB281" s="6" t="s">
        <v>46</v>
      </c>
      <c r="AC281" s="6" t="s">
        <v>1314</v>
      </c>
      <c r="AD281" s="6" t="s">
        <v>1315</v>
      </c>
      <c r="AE281" s="6" t="s">
        <v>74</v>
      </c>
      <c r="AF281" s="6" t="s">
        <v>1102</v>
      </c>
    </row>
    <row r="282" spans="1:32">
      <c r="A282" s="6" t="s">
        <v>1316</v>
      </c>
      <c r="B282" s="6" t="s">
        <v>206</v>
      </c>
      <c r="C282" s="6">
        <v>1988</v>
      </c>
      <c r="D282" s="6" t="s">
        <v>1317</v>
      </c>
      <c r="E282" s="6" t="str">
        <f>HYPERLINK("https://www1.nyc.gov/assets/planning/download/pdf/about/cpc/880401.pdf","Open PDF")</f>
        <v>Open PDF</v>
      </c>
      <c r="F282" s="6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10"/>
      <c r="X282" s="6"/>
      <c r="Y282" s="6"/>
      <c r="Z282" s="6"/>
      <c r="AA282" s="6"/>
      <c r="AB282" s="6" t="s">
        <v>33</v>
      </c>
      <c r="AC282" s="6"/>
      <c r="AD282" s="6" t="s">
        <v>1318</v>
      </c>
      <c r="AE282" s="6" t="s">
        <v>74</v>
      </c>
      <c r="AF282" s="6" t="s">
        <v>194</v>
      </c>
    </row>
    <row r="283" spans="1:32">
      <c r="A283" s="6" t="s">
        <v>1319</v>
      </c>
      <c r="B283" s="6" t="s">
        <v>1320</v>
      </c>
      <c r="C283" s="6">
        <v>1977</v>
      </c>
      <c r="D283" s="6" t="s">
        <v>1321</v>
      </c>
      <c r="E283" s="6" t="str">
        <f>HYPERLINK("https://www1.nyc.gov/assets/planning/download/pdf/about/cpc/760132.pdf","Open PDF")</f>
        <v>Open PDF</v>
      </c>
      <c r="F283" s="6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10"/>
      <c r="X283" s="6"/>
      <c r="Y283" s="6"/>
      <c r="Z283" s="6"/>
      <c r="AA283" s="6"/>
      <c r="AB283" s="6" t="s">
        <v>46</v>
      </c>
      <c r="AC283" s="6" t="s">
        <v>1322</v>
      </c>
      <c r="AD283" s="6" t="s">
        <v>1323</v>
      </c>
      <c r="AE283" s="6" t="s">
        <v>35</v>
      </c>
      <c r="AF283" s="6" t="s">
        <v>112</v>
      </c>
    </row>
    <row r="284" spans="1:32">
      <c r="A284" s="6" t="s">
        <v>1324</v>
      </c>
      <c r="B284" s="6" t="s">
        <v>1325</v>
      </c>
      <c r="C284" s="6">
        <v>1993</v>
      </c>
      <c r="D284" s="6" t="s">
        <v>1326</v>
      </c>
      <c r="E284" s="6" t="str">
        <f>HYPERLINK("https://www1.nyc.gov/assets/planning/download/pdf/about/cpc/920232.pdf","Open PDF")</f>
        <v>Open PDF</v>
      </c>
      <c r="F284" s="6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10"/>
      <c r="X284" s="6"/>
      <c r="Y284" s="6"/>
      <c r="Z284" s="6"/>
      <c r="AA284" s="6"/>
      <c r="AB284" s="6" t="s">
        <v>46</v>
      </c>
      <c r="AC284" s="6" t="s">
        <v>1327</v>
      </c>
      <c r="AD284" s="6" t="s">
        <v>1328</v>
      </c>
      <c r="AE284" s="6" t="s">
        <v>61</v>
      </c>
      <c r="AF284" s="6" t="s">
        <v>361</v>
      </c>
    </row>
    <row r="285" spans="1:32">
      <c r="A285" s="6" t="s">
        <v>1329</v>
      </c>
      <c r="B285" s="6" t="s">
        <v>1330</v>
      </c>
      <c r="C285" s="6">
        <v>2019</v>
      </c>
      <c r="D285" s="6" t="s">
        <v>1331</v>
      </c>
      <c r="E285" s="6" t="str">
        <f>HYPERLINK("https://www1.nyc.gov/assets/planning/download/pdf/about/cpc/180171.pdf","Open PDF")</f>
        <v>Open PDF</v>
      </c>
      <c r="F285" s="6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10"/>
      <c r="X285" s="6"/>
      <c r="Y285" s="6"/>
      <c r="Z285" s="6"/>
      <c r="AA285" s="6"/>
      <c r="AB285" s="6" t="s">
        <v>33</v>
      </c>
      <c r="AC285" s="6"/>
      <c r="AD285" s="6" t="s">
        <v>1332</v>
      </c>
      <c r="AE285" s="6" t="s">
        <v>49</v>
      </c>
      <c r="AF285" s="6" t="s">
        <v>705</v>
      </c>
    </row>
    <row r="286" spans="1:32">
      <c r="A286" s="6" t="s">
        <v>1333</v>
      </c>
      <c r="B286" s="6" t="s">
        <v>1334</v>
      </c>
      <c r="C286" s="6">
        <v>2003</v>
      </c>
      <c r="D286" s="6" t="s">
        <v>1335</v>
      </c>
      <c r="E286" s="6" t="str">
        <f>HYPERLINK("https://www1.nyc.gov/assets/planning/download/pdf/about/cpc/030139.pdf","Open PDF")</f>
        <v>Open PDF</v>
      </c>
      <c r="F286" s="6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10"/>
      <c r="X286" s="6"/>
      <c r="Y286" s="6"/>
      <c r="Z286" s="6"/>
      <c r="AA286" s="6"/>
      <c r="AB286" s="6" t="s">
        <v>33</v>
      </c>
      <c r="AC286" s="6"/>
      <c r="AD286" s="6" t="s">
        <v>1336</v>
      </c>
      <c r="AE286" s="6" t="s">
        <v>41</v>
      </c>
      <c r="AF286" s="6" t="s">
        <v>112</v>
      </c>
    </row>
    <row r="287" spans="1:32">
      <c r="A287" s="6" t="s">
        <v>1337</v>
      </c>
      <c r="B287" s="6" t="s">
        <v>1338</v>
      </c>
      <c r="C287" s="6">
        <v>2017</v>
      </c>
      <c r="D287" s="6" t="s">
        <v>1339</v>
      </c>
      <c r="E287" s="6" t="str">
        <f>HYPERLINK("https://www1.nyc.gov/assets/planning/download/pdf/about/cpc/170182.pdf","Open PDF")</f>
        <v>Open PDF</v>
      </c>
      <c r="F287" s="6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10"/>
      <c r="X287" s="6"/>
      <c r="Y287" s="6"/>
      <c r="Z287" s="6"/>
      <c r="AA287" s="6"/>
      <c r="AB287" s="6" t="s">
        <v>33</v>
      </c>
      <c r="AC287" s="6"/>
      <c r="AD287" s="6" t="s">
        <v>1340</v>
      </c>
      <c r="AE287" s="6" t="s">
        <v>41</v>
      </c>
      <c r="AF287" s="6" t="s">
        <v>117</v>
      </c>
    </row>
    <row r="288" spans="1:32">
      <c r="A288" s="6" t="s">
        <v>1341</v>
      </c>
      <c r="B288" s="6" t="s">
        <v>1342</v>
      </c>
      <c r="C288" s="6">
        <v>2022</v>
      </c>
      <c r="D288" s="6" t="s">
        <v>1343</v>
      </c>
      <c r="E288" s="6" t="str">
        <f>HYPERLINK("https://www1.nyc.gov/assets/planning/download/pdf/about/cpc/220406.pdf","Open PDF")</f>
        <v>Open PDF</v>
      </c>
      <c r="F288" s="6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10"/>
      <c r="X288" s="6"/>
      <c r="Y288" s="6"/>
      <c r="Z288" s="6"/>
      <c r="AA288" s="6"/>
      <c r="AB288" s="6" t="s">
        <v>33</v>
      </c>
      <c r="AC288" s="6"/>
      <c r="AD288" s="6" t="s">
        <v>1344</v>
      </c>
      <c r="AE288" s="6" t="s">
        <v>272</v>
      </c>
      <c r="AF288" s="6" t="s">
        <v>85</v>
      </c>
    </row>
    <row r="289" spans="1:32">
      <c r="A289" s="6" t="s">
        <v>1345</v>
      </c>
      <c r="B289" s="6" t="s">
        <v>1346</v>
      </c>
      <c r="C289" s="6">
        <v>2000</v>
      </c>
      <c r="D289" s="6" t="s">
        <v>1347</v>
      </c>
      <c r="E289" s="6" t="str">
        <f>HYPERLINK("https://www1.nyc.gov/assets/planning/download/pdf/about/cpc/000092.pdf","Open PDF")</f>
        <v>Open PDF</v>
      </c>
      <c r="F289" s="6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10"/>
      <c r="X289" s="6"/>
      <c r="Y289" s="6"/>
      <c r="Z289" s="6"/>
      <c r="AA289" s="6"/>
      <c r="AB289" s="6" t="s">
        <v>46</v>
      </c>
      <c r="AC289" s="6" t="s">
        <v>1348</v>
      </c>
      <c r="AD289" s="6" t="s">
        <v>1349</v>
      </c>
      <c r="AE289" s="6" t="s">
        <v>74</v>
      </c>
      <c r="AF289" s="6" t="s">
        <v>112</v>
      </c>
    </row>
    <row r="290" spans="1:32">
      <c r="A290" s="6" t="s">
        <v>1350</v>
      </c>
      <c r="B290" s="6" t="s">
        <v>1351</v>
      </c>
      <c r="C290" s="6">
        <v>2016</v>
      </c>
      <c r="D290" s="6" t="s">
        <v>1352</v>
      </c>
      <c r="E290" s="6" t="str">
        <f>HYPERLINK("https://www1.nyc.gov/assets/planning/download/pdf/about/cpc/050319.pdf","Open PDF")</f>
        <v>Open PDF</v>
      </c>
      <c r="F290" s="6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10"/>
      <c r="X290" s="6"/>
      <c r="Y290" s="6"/>
      <c r="Z290" s="6"/>
      <c r="AA290" s="6"/>
      <c r="AB290" s="6" t="s">
        <v>33</v>
      </c>
      <c r="AC290" s="6"/>
      <c r="AD290" s="6" t="s">
        <v>1353</v>
      </c>
      <c r="AE290" s="6" t="s">
        <v>67</v>
      </c>
      <c r="AF290" s="6" t="s">
        <v>470</v>
      </c>
    </row>
    <row r="291" spans="1:32">
      <c r="A291" s="6" t="s">
        <v>1354</v>
      </c>
      <c r="B291" s="6" t="s">
        <v>1355</v>
      </c>
      <c r="C291" s="6">
        <v>2022</v>
      </c>
      <c r="D291" s="6" t="s">
        <v>1356</v>
      </c>
      <c r="E291" s="6" t="str">
        <f>HYPERLINK("https://www1.nyc.gov/assets/planning/download/pdf/about/cpc/220468.pdf","Open PDF")</f>
        <v>Open PDF</v>
      </c>
      <c r="F291" s="6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10"/>
      <c r="X291" s="6"/>
      <c r="Y291" s="6"/>
      <c r="Z291" s="6"/>
      <c r="AA291" s="6"/>
      <c r="AB291" s="6" t="s">
        <v>46</v>
      </c>
      <c r="AC291" s="6" t="s">
        <v>1357</v>
      </c>
      <c r="AD291" s="6" t="s">
        <v>1358</v>
      </c>
      <c r="AE291" s="6" t="s">
        <v>249</v>
      </c>
      <c r="AF291" s="6" t="s">
        <v>258</v>
      </c>
    </row>
    <row r="292" spans="1:32">
      <c r="A292" s="6" t="s">
        <v>1359</v>
      </c>
      <c r="B292" s="6" t="s">
        <v>1360</v>
      </c>
      <c r="C292" s="6">
        <v>2007</v>
      </c>
      <c r="D292" s="6" t="s">
        <v>1361</v>
      </c>
      <c r="E292" s="6" t="str">
        <f>HYPERLINK("https://www1.nyc.gov/assets/planning/download/pdf/about/cpc/060018.pdf","Open PDF")</f>
        <v>Open PDF</v>
      </c>
      <c r="F292" s="6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10"/>
      <c r="X292" s="6"/>
      <c r="Y292" s="6"/>
      <c r="Z292" s="6"/>
      <c r="AA292" s="6"/>
      <c r="AB292" s="6" t="s">
        <v>33</v>
      </c>
      <c r="AC292" s="6"/>
      <c r="AD292" s="6" t="s">
        <v>1362</v>
      </c>
      <c r="AE292" s="6" t="s">
        <v>49</v>
      </c>
      <c r="AF292" s="6" t="s">
        <v>194</v>
      </c>
    </row>
    <row r="293" spans="1:32">
      <c r="A293" s="6" t="s">
        <v>1363</v>
      </c>
      <c r="B293" s="6" t="s">
        <v>1364</v>
      </c>
      <c r="C293" s="6">
        <v>2004</v>
      </c>
      <c r="D293" s="6" t="s">
        <v>1365</v>
      </c>
      <c r="E293" s="6" t="str">
        <f>HYPERLINK("https://www1.nyc.gov/assets/planning/download/pdf/about/cpc/040459.pdf","Open PDF")</f>
        <v>Open PDF</v>
      </c>
      <c r="F293" s="6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10"/>
      <c r="X293" s="6"/>
      <c r="Y293" s="6"/>
      <c r="Z293" s="6"/>
      <c r="AA293" s="6"/>
      <c r="AB293" s="6" t="s">
        <v>33</v>
      </c>
      <c r="AC293" s="6"/>
      <c r="AD293" s="6" t="s">
        <v>1366</v>
      </c>
      <c r="AE293" s="6" t="s">
        <v>935</v>
      </c>
      <c r="AF293" s="6" t="s">
        <v>286</v>
      </c>
    </row>
    <row r="294" spans="1:32">
      <c r="A294" s="6" t="s">
        <v>1367</v>
      </c>
      <c r="B294" s="6" t="s">
        <v>206</v>
      </c>
      <c r="C294" s="6">
        <v>1994</v>
      </c>
      <c r="D294" s="6" t="s">
        <v>1368</v>
      </c>
      <c r="E294" s="6" t="str">
        <f>HYPERLINK("https://www1.nyc.gov/assets/planning/download/pdf/about/cpc/920316.pdf","Open PDF")</f>
        <v>Open PDF</v>
      </c>
      <c r="F294" s="6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10"/>
      <c r="X294" s="6"/>
      <c r="Y294" s="6"/>
      <c r="Z294" s="6"/>
      <c r="AA294" s="6"/>
      <c r="AB294" s="6" t="s">
        <v>33</v>
      </c>
      <c r="AC294" s="6"/>
      <c r="AD294" s="6" t="s">
        <v>1369</v>
      </c>
      <c r="AE294" s="6" t="s">
        <v>74</v>
      </c>
      <c r="AF294" s="6" t="s">
        <v>416</v>
      </c>
    </row>
    <row r="295" spans="1:32">
      <c r="A295" s="6" t="s">
        <v>1370</v>
      </c>
      <c r="B295" s="6" t="s">
        <v>1371</v>
      </c>
      <c r="C295" s="6">
        <v>1978</v>
      </c>
      <c r="D295" s="6" t="s">
        <v>1372</v>
      </c>
      <c r="E295" s="6" t="str">
        <f>HYPERLINK("https://www1.nyc.gov/assets/planning/download/pdf/about/cpc/770371.pdf","Open PDF")</f>
        <v>Open PDF</v>
      </c>
      <c r="F295" s="6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10"/>
      <c r="X295" s="6"/>
      <c r="Y295" s="6"/>
      <c r="Z295" s="6"/>
      <c r="AA295" s="6"/>
      <c r="AB295" s="6" t="s">
        <v>33</v>
      </c>
      <c r="AC295" s="6"/>
      <c r="AD295" s="6" t="s">
        <v>1373</v>
      </c>
      <c r="AE295" s="6" t="s">
        <v>436</v>
      </c>
      <c r="AF295" s="6" t="s">
        <v>1298</v>
      </c>
    </row>
    <row r="296" spans="1:32">
      <c r="A296" s="6" t="s">
        <v>1374</v>
      </c>
      <c r="B296" s="6" t="s">
        <v>1375</v>
      </c>
      <c r="C296" s="6">
        <v>2012</v>
      </c>
      <c r="D296" s="6" t="s">
        <v>1376</v>
      </c>
      <c r="E296" s="6" t="str">
        <f>HYPERLINK("https://www1.nyc.gov/assets/planning/download/pdf/about/cpc/090002.pdf","Open PDF")</f>
        <v>Open PDF</v>
      </c>
      <c r="F296" s="6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10"/>
      <c r="X296" s="6"/>
      <c r="Y296" s="6"/>
      <c r="Z296" s="6"/>
      <c r="AA296" s="6"/>
      <c r="AB296" s="6" t="s">
        <v>46</v>
      </c>
      <c r="AC296" s="6" t="s">
        <v>1377</v>
      </c>
      <c r="AD296" s="6" t="s">
        <v>1378</v>
      </c>
      <c r="AE296" s="6" t="s">
        <v>41</v>
      </c>
      <c r="AF296" s="6" t="s">
        <v>112</v>
      </c>
    </row>
    <row r="297" spans="1:32">
      <c r="A297" s="6" t="s">
        <v>1379</v>
      </c>
      <c r="B297" s="6" t="s">
        <v>1380</v>
      </c>
      <c r="C297" s="6">
        <v>1988</v>
      </c>
      <c r="D297" s="6" t="s">
        <v>1381</v>
      </c>
      <c r="E297" s="6" t="str">
        <f>HYPERLINK("https://www1.nyc.gov/assets/planning/download/pdf/about/cpc/860102.pdf","Open PDF")</f>
        <v>Open PDF</v>
      </c>
      <c r="F297" s="6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10"/>
      <c r="X297" s="6"/>
      <c r="Y297" s="6"/>
      <c r="Z297" s="6"/>
      <c r="AA297" s="6"/>
      <c r="AB297" s="6" t="s">
        <v>33</v>
      </c>
      <c r="AC297" s="6"/>
      <c r="AD297" s="6" t="s">
        <v>1382</v>
      </c>
      <c r="AE297" s="6" t="s">
        <v>49</v>
      </c>
      <c r="AF297" s="6" t="s">
        <v>148</v>
      </c>
    </row>
    <row r="298" spans="1:32">
      <c r="A298" s="6" t="s">
        <v>1383</v>
      </c>
      <c r="B298" s="6" t="s">
        <v>1384</v>
      </c>
      <c r="C298" s="6">
        <v>2021</v>
      </c>
      <c r="D298" s="6" t="s">
        <v>1385</v>
      </c>
      <c r="E298" s="6" t="str">
        <f>HYPERLINK("https://www1.nyc.gov/assets/planning/download/pdf/about/cpc/200279.pdf","Open PDF")</f>
        <v>Open PDF</v>
      </c>
      <c r="F298" s="6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10"/>
      <c r="X298" s="6"/>
      <c r="Y298" s="6"/>
      <c r="Z298" s="6"/>
      <c r="AA298" s="6"/>
      <c r="AB298" s="6" t="s">
        <v>46</v>
      </c>
      <c r="AC298" s="6" t="s">
        <v>1386</v>
      </c>
      <c r="AD298" s="6" t="s">
        <v>1387</v>
      </c>
      <c r="AE298" s="6" t="s">
        <v>188</v>
      </c>
      <c r="AF298" s="6" t="s">
        <v>298</v>
      </c>
    </row>
    <row r="299" spans="1:32">
      <c r="A299" s="6" t="s">
        <v>1388</v>
      </c>
      <c r="B299" s="6" t="s">
        <v>1389</v>
      </c>
      <c r="C299" s="6">
        <v>2006</v>
      </c>
      <c r="D299" s="6" t="s">
        <v>1390</v>
      </c>
      <c r="E299" s="6" t="str">
        <f>HYPERLINK("https://www1.nyc.gov/assets/planning/download/pdf/about/cpc/060502.pdf","Open PDF")</f>
        <v>Open PDF</v>
      </c>
      <c r="F299" s="6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10"/>
      <c r="X299" s="6"/>
      <c r="Y299" s="6"/>
      <c r="Z299" s="6"/>
      <c r="AA299" s="6"/>
      <c r="AB299" s="6" t="s">
        <v>33</v>
      </c>
      <c r="AC299" s="6"/>
      <c r="AD299" s="6" t="s">
        <v>1391</v>
      </c>
      <c r="AE299" s="6" t="s">
        <v>272</v>
      </c>
      <c r="AF299" s="6" t="s">
        <v>286</v>
      </c>
    </row>
    <row r="300" spans="1:32">
      <c r="A300" s="6" t="s">
        <v>1392</v>
      </c>
      <c r="B300" s="6" t="s">
        <v>1393</v>
      </c>
      <c r="C300" s="6">
        <v>2005</v>
      </c>
      <c r="D300" s="6" t="s">
        <v>1394</v>
      </c>
      <c r="E300" s="6" t="str">
        <f>HYPERLINK("https://www1.nyc.gov/assets/planning/download/pdf/about/cpc/040201a.pdf","Open PDF")</f>
        <v>Open PDF</v>
      </c>
      <c r="F300" s="6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10"/>
      <c r="X300" s="6"/>
      <c r="Y300" s="6"/>
      <c r="Z300" s="6"/>
      <c r="AA300" s="6"/>
      <c r="AB300" s="6" t="s">
        <v>33</v>
      </c>
      <c r="AC300" s="6"/>
      <c r="AD300" s="6" t="s">
        <v>1395</v>
      </c>
      <c r="AE300" s="6" t="s">
        <v>41</v>
      </c>
      <c r="AF300" s="6" t="s">
        <v>112</v>
      </c>
    </row>
    <row r="301" spans="1:32">
      <c r="A301" s="6" t="s">
        <v>1396</v>
      </c>
      <c r="B301" s="6" t="s">
        <v>1397</v>
      </c>
      <c r="C301" s="6">
        <v>2003</v>
      </c>
      <c r="D301" s="6" t="s">
        <v>1398</v>
      </c>
      <c r="E301" s="6" t="str">
        <f>HYPERLINK("https://www1.nyc.gov/assets/planning/download/pdf/about/cpc/030001.pdf","Open PDF")</f>
        <v>Open PDF</v>
      </c>
      <c r="F301" s="6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10"/>
      <c r="X301" s="6"/>
      <c r="Y301" s="6"/>
      <c r="Z301" s="6"/>
      <c r="AA301" s="6"/>
      <c r="AB301" s="6" t="s">
        <v>33</v>
      </c>
      <c r="AC301" s="6"/>
      <c r="AD301" s="6" t="s">
        <v>1399</v>
      </c>
      <c r="AE301" s="6" t="s">
        <v>49</v>
      </c>
      <c r="AF301" s="6" t="s">
        <v>239</v>
      </c>
    </row>
    <row r="302" spans="1:32">
      <c r="W302" s="11"/>
    </row>
    <row r="303" spans="1:32">
      <c r="W303" s="11"/>
    </row>
    <row r="304" spans="1:32">
      <c r="W304" s="11"/>
    </row>
    <row r="305" spans="23:23">
      <c r="W305" s="11"/>
    </row>
    <row r="306" spans="23:23">
      <c r="W306" s="11"/>
    </row>
    <row r="307" spans="23:23">
      <c r="W307" s="11"/>
    </row>
    <row r="308" spans="23:23">
      <c r="W308" s="11"/>
    </row>
    <row r="309" spans="23:23">
      <c r="W309" s="11"/>
    </row>
    <row r="310" spans="23:23">
      <c r="W310" s="11"/>
    </row>
    <row r="311" spans="23:23">
      <c r="W311" s="11"/>
    </row>
    <row r="312" spans="23:23">
      <c r="W312" s="11"/>
    </row>
    <row r="313" spans="23:23">
      <c r="W313" s="11"/>
    </row>
    <row r="314" spans="23:23">
      <c r="W314" s="11"/>
    </row>
    <row r="315" spans="23:23">
      <c r="W315" s="11"/>
    </row>
    <row r="316" spans="23:23">
      <c r="W316" s="11"/>
    </row>
    <row r="317" spans="23:23">
      <c r="W317" s="11"/>
    </row>
    <row r="318" spans="23:23">
      <c r="W318" s="11"/>
    </row>
    <row r="319" spans="23:23">
      <c r="W319" s="11"/>
    </row>
    <row r="320" spans="23:23">
      <c r="W320" s="11"/>
    </row>
    <row r="321" spans="23:23">
      <c r="W321" s="11"/>
    </row>
    <row r="322" spans="23:23">
      <c r="W322" s="11"/>
    </row>
    <row r="323" spans="23:23">
      <c r="W323" s="11"/>
    </row>
    <row r="324" spans="23:23">
      <c r="W324" s="11"/>
    </row>
    <row r="325" spans="23:23">
      <c r="W325" s="11"/>
    </row>
    <row r="326" spans="23:23">
      <c r="W326" s="11"/>
    </row>
    <row r="327" spans="23:23">
      <c r="W327" s="11"/>
    </row>
    <row r="328" spans="23:23">
      <c r="W328" s="11"/>
    </row>
    <row r="329" spans="23:23">
      <c r="W329" s="11"/>
    </row>
    <row r="330" spans="23:23">
      <c r="W330" s="11"/>
    </row>
    <row r="331" spans="23:23">
      <c r="W331" s="11"/>
    </row>
    <row r="332" spans="23:23">
      <c r="W332" s="11"/>
    </row>
    <row r="333" spans="23:23">
      <c r="W333" s="11"/>
    </row>
    <row r="334" spans="23:23">
      <c r="W334" s="11"/>
    </row>
    <row r="335" spans="23:23">
      <c r="W335" s="11"/>
    </row>
    <row r="336" spans="23:23">
      <c r="W336" s="11"/>
    </row>
    <row r="337" spans="23:23">
      <c r="W337" s="11"/>
    </row>
    <row r="338" spans="23:23">
      <c r="W338" s="11"/>
    </row>
    <row r="339" spans="23:23">
      <c r="W339" s="11"/>
    </row>
    <row r="340" spans="23:23">
      <c r="W340" s="11"/>
    </row>
    <row r="341" spans="23:23">
      <c r="W341" s="11"/>
    </row>
    <row r="342" spans="23:23">
      <c r="W342" s="11"/>
    </row>
    <row r="343" spans="23:23">
      <c r="W343" s="11"/>
    </row>
    <row r="344" spans="23:23">
      <c r="W344" s="11"/>
    </row>
    <row r="345" spans="23:23">
      <c r="W345" s="11"/>
    </row>
    <row r="346" spans="23:23">
      <c r="W346" s="11"/>
    </row>
    <row r="347" spans="23:23">
      <c r="W347" s="11"/>
    </row>
    <row r="348" spans="23:23">
      <c r="W348" s="11"/>
    </row>
    <row r="349" spans="23:23">
      <c r="W349" s="11"/>
    </row>
    <row r="350" spans="23:23">
      <c r="W350" s="11"/>
    </row>
    <row r="351" spans="23:23">
      <c r="W351" s="11"/>
    </row>
    <row r="352" spans="23:23">
      <c r="W352" s="11"/>
    </row>
    <row r="353" spans="23:23">
      <c r="W353" s="11"/>
    </row>
    <row r="354" spans="23:23">
      <c r="W354" s="11"/>
    </row>
    <row r="355" spans="23:23">
      <c r="W355" s="11"/>
    </row>
    <row r="356" spans="23:23">
      <c r="W356" s="11"/>
    </row>
    <row r="357" spans="23:23">
      <c r="W357" s="11"/>
    </row>
    <row r="358" spans="23:23">
      <c r="W358" s="11"/>
    </row>
    <row r="359" spans="23:23">
      <c r="W359" s="11"/>
    </row>
    <row r="360" spans="23:23">
      <c r="W360" s="11"/>
    </row>
    <row r="361" spans="23:23">
      <c r="W361" s="11"/>
    </row>
    <row r="362" spans="23:23">
      <c r="W362" s="11"/>
    </row>
    <row r="363" spans="23:23">
      <c r="W363" s="11"/>
    </row>
    <row r="364" spans="23:23">
      <c r="W364" s="11"/>
    </row>
    <row r="365" spans="23:23">
      <c r="W365" s="11"/>
    </row>
    <row r="366" spans="23:23">
      <c r="W366" s="11"/>
    </row>
    <row r="367" spans="23:23">
      <c r="W367" s="11"/>
    </row>
    <row r="368" spans="23:23">
      <c r="W368" s="11"/>
    </row>
    <row r="369" spans="23:23">
      <c r="W369" s="11"/>
    </row>
    <row r="370" spans="23:23">
      <c r="W370" s="11"/>
    </row>
    <row r="371" spans="23:23">
      <c r="W371" s="11"/>
    </row>
    <row r="372" spans="23:23">
      <c r="W372" s="11"/>
    </row>
    <row r="373" spans="23:23">
      <c r="W373" s="11"/>
    </row>
    <row r="374" spans="23:23">
      <c r="W374" s="11"/>
    </row>
    <row r="375" spans="23:23">
      <c r="W375" s="11"/>
    </row>
    <row r="376" spans="23:23">
      <c r="W376" s="11"/>
    </row>
    <row r="377" spans="23:23">
      <c r="W377" s="11"/>
    </row>
    <row r="378" spans="23:23">
      <c r="W378" s="11"/>
    </row>
    <row r="379" spans="23:23">
      <c r="W379" s="11"/>
    </row>
    <row r="380" spans="23:23">
      <c r="W380" s="11"/>
    </row>
    <row r="381" spans="23:23">
      <c r="W381" s="11"/>
    </row>
  </sheetData>
  <phoneticPr fontId="4" type="noConversion"/>
  <dataValidations count="6">
    <dataValidation type="list" sqref="H2:O301 R2:V301" xr:uid="{00000000-0002-0000-0000-000000000000}">
      <formula1>"0,1,unclear"</formula1>
    </dataValidation>
    <dataValidation type="list" sqref="P2:Q301" xr:uid="{00000000-0002-0000-0000-000002000000}">
      <formula1>"none_or_procedural,support_or_request,opposition,unclear"</formula1>
    </dataValidation>
    <dataValidation type="list" sqref="Y2:Y301" xr:uid="{00000000-0002-0000-0000-000003000000}">
      <formula1>"high,medium,low"</formula1>
    </dataValidation>
    <dataValidation type="list" sqref="Z2:Z301" xr:uid="{00000000-0002-0000-0000-000004000000}">
      <formula1>"0,1"</formula1>
    </dataValidation>
    <dataValidation type="list" allowBlank="1" showInputMessage="1" showErrorMessage="1" sqref="F2:F301" xr:uid="{535B85A8-A264-0348-8711-17D1D40F9E71}">
      <formula1>"0,1,unclear"</formula1>
    </dataValidation>
    <dataValidation type="list" allowBlank="1" showInputMessage="1" showErrorMessage="1" sqref="G2:G301" xr:uid="{E083FE13-9A21-434C-9010-34B68A793A70}">
      <formula1>"upzone, downzone, mixed, none"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4"/>
  <cols>
    <col min="1" max="1" width="14" customWidth="1"/>
    <col min="2" max="2" width="30" customWidth="1"/>
    <col min="3" max="3" width="18" customWidth="1"/>
    <col min="4" max="6" width="48" customWidth="1"/>
  </cols>
  <sheetData>
    <row r="1" spans="1:6" ht="15" customHeight="1">
      <c r="A1" s="8" t="s">
        <v>1400</v>
      </c>
      <c r="B1" s="8" t="s">
        <v>1401</v>
      </c>
      <c r="C1" s="8" t="s">
        <v>1402</v>
      </c>
      <c r="D1" s="8" t="s">
        <v>1403</v>
      </c>
      <c r="E1" s="8" t="s">
        <v>1404</v>
      </c>
      <c r="F1" s="8" t="s">
        <v>1405</v>
      </c>
    </row>
    <row r="2" spans="1:6" ht="15" customHeight="1">
      <c r="A2" s="9" t="s">
        <v>1406</v>
      </c>
      <c r="B2" s="9" t="s">
        <v>1407</v>
      </c>
      <c r="C2" s="9" t="s">
        <v>1408</v>
      </c>
      <c r="D2" s="9" t="s">
        <v>1409</v>
      </c>
      <c r="E2" s="9" t="s">
        <v>1410</v>
      </c>
      <c r="F2" s="9" t="s">
        <v>1411</v>
      </c>
    </row>
    <row r="3" spans="1:6" ht="15" customHeight="1">
      <c r="A3" s="9" t="s">
        <v>1476</v>
      </c>
      <c r="B3" s="9" t="s">
        <v>1474</v>
      </c>
      <c r="C3" s="9" t="s">
        <v>1408</v>
      </c>
      <c r="D3" s="9" t="s">
        <v>1477</v>
      </c>
      <c r="E3" s="9" t="s">
        <v>1478</v>
      </c>
      <c r="F3" s="9"/>
    </row>
    <row r="4" spans="1:6" ht="42">
      <c r="A4" s="9" t="s">
        <v>1476</v>
      </c>
      <c r="B4" s="9" t="s">
        <v>1475</v>
      </c>
      <c r="C4" s="9" t="s">
        <v>1479</v>
      </c>
      <c r="D4" s="9" t="s">
        <v>1480</v>
      </c>
      <c r="E4" s="9"/>
      <c r="F4" s="9"/>
    </row>
    <row r="5" spans="1:6" ht="24" customHeight="1">
      <c r="A5" s="9" t="s">
        <v>1412</v>
      </c>
      <c r="B5" s="9" t="s">
        <v>5</v>
      </c>
      <c r="C5" s="9" t="s">
        <v>1408</v>
      </c>
      <c r="D5" s="9" t="s">
        <v>1413</v>
      </c>
      <c r="E5" s="9" t="s">
        <v>1414</v>
      </c>
      <c r="F5" s="9" t="s">
        <v>1415</v>
      </c>
    </row>
    <row r="6" spans="1:6" ht="24" customHeight="1">
      <c r="A6" s="9" t="s">
        <v>1412</v>
      </c>
      <c r="B6" s="9" t="s">
        <v>6</v>
      </c>
      <c r="C6" s="9" t="s">
        <v>1408</v>
      </c>
      <c r="D6" s="9" t="s">
        <v>1416</v>
      </c>
      <c r="E6" s="9" t="s">
        <v>1417</v>
      </c>
      <c r="F6" s="9" t="s">
        <v>1418</v>
      </c>
    </row>
    <row r="7" spans="1:6" ht="24" customHeight="1">
      <c r="A7" s="9" t="s">
        <v>1412</v>
      </c>
      <c r="B7" s="9" t="s">
        <v>7</v>
      </c>
      <c r="C7" s="9" t="s">
        <v>1408</v>
      </c>
      <c r="D7" s="9" t="s">
        <v>1419</v>
      </c>
      <c r="E7" s="9" t="s">
        <v>1420</v>
      </c>
      <c r="F7" s="9" t="s">
        <v>1421</v>
      </c>
    </row>
    <row r="8" spans="1:6" ht="24" customHeight="1">
      <c r="A8" s="9" t="s">
        <v>1412</v>
      </c>
      <c r="B8" s="9" t="s">
        <v>8</v>
      </c>
      <c r="C8" s="9" t="s">
        <v>1408</v>
      </c>
      <c r="D8" s="9" t="s">
        <v>1422</v>
      </c>
      <c r="E8" s="9" t="s">
        <v>1423</v>
      </c>
      <c r="F8" s="9" t="s">
        <v>1424</v>
      </c>
    </row>
    <row r="9" spans="1:6" ht="24" customHeight="1">
      <c r="A9" s="9" t="s">
        <v>1412</v>
      </c>
      <c r="B9" s="9" t="s">
        <v>9</v>
      </c>
      <c r="C9" s="9" t="s">
        <v>1408</v>
      </c>
      <c r="D9" s="9" t="s">
        <v>1425</v>
      </c>
      <c r="E9" s="9" t="s">
        <v>1426</v>
      </c>
      <c r="F9" s="9" t="s">
        <v>1427</v>
      </c>
    </row>
    <row r="10" spans="1:6" ht="24" customHeight="1">
      <c r="A10" s="9" t="s">
        <v>1412</v>
      </c>
      <c r="B10" s="9" t="s">
        <v>10</v>
      </c>
      <c r="C10" s="9" t="s">
        <v>1408</v>
      </c>
      <c r="D10" s="9" t="s">
        <v>1428</v>
      </c>
      <c r="E10" s="9" t="s">
        <v>1429</v>
      </c>
      <c r="F10" s="9" t="s">
        <v>1430</v>
      </c>
    </row>
    <row r="11" spans="1:6" ht="24" customHeight="1">
      <c r="A11" s="9" t="s">
        <v>1431</v>
      </c>
      <c r="B11" s="9" t="s">
        <v>11</v>
      </c>
      <c r="C11" s="9" t="s">
        <v>1408</v>
      </c>
      <c r="D11" s="9" t="s">
        <v>1432</v>
      </c>
      <c r="E11" s="9" t="s">
        <v>1433</v>
      </c>
      <c r="F11" s="9" t="s">
        <v>1434</v>
      </c>
    </row>
    <row r="12" spans="1:6" ht="24" customHeight="1">
      <c r="A12" s="9" t="s">
        <v>1431</v>
      </c>
      <c r="B12" s="9" t="s">
        <v>12</v>
      </c>
      <c r="C12" s="9" t="s">
        <v>1408</v>
      </c>
      <c r="D12" s="9" t="s">
        <v>1435</v>
      </c>
      <c r="E12" s="9" t="s">
        <v>1436</v>
      </c>
      <c r="F12" s="9" t="s">
        <v>1437</v>
      </c>
    </row>
    <row r="13" spans="1:6" ht="48" customHeight="1">
      <c r="A13" s="9" t="s">
        <v>1431</v>
      </c>
      <c r="B13" s="9" t="s">
        <v>13</v>
      </c>
      <c r="C13" s="9" t="s">
        <v>1438</v>
      </c>
      <c r="D13" s="9" t="s">
        <v>1439</v>
      </c>
      <c r="E13" s="9" t="s">
        <v>1440</v>
      </c>
      <c r="F13" s="9" t="s">
        <v>1441</v>
      </c>
    </row>
    <row r="14" spans="1:6" ht="48" customHeight="1">
      <c r="A14" s="9" t="s">
        <v>1431</v>
      </c>
      <c r="B14" s="9" t="s">
        <v>14</v>
      </c>
      <c r="C14" s="9" t="s">
        <v>1438</v>
      </c>
      <c r="D14" s="9" t="s">
        <v>1442</v>
      </c>
      <c r="E14" s="9" t="s">
        <v>1443</v>
      </c>
      <c r="F14" s="9" t="s">
        <v>1444</v>
      </c>
    </row>
    <row r="15" spans="1:6" ht="24" customHeight="1">
      <c r="A15" s="9" t="s">
        <v>1445</v>
      </c>
      <c r="B15" s="9" t="s">
        <v>15</v>
      </c>
      <c r="C15" s="9" t="s">
        <v>1408</v>
      </c>
      <c r="D15" s="9" t="s">
        <v>1446</v>
      </c>
      <c r="E15" s="9" t="s">
        <v>1447</v>
      </c>
      <c r="F15" s="9" t="s">
        <v>1448</v>
      </c>
    </row>
    <row r="16" spans="1:6" ht="24" customHeight="1">
      <c r="A16" s="9" t="s">
        <v>1445</v>
      </c>
      <c r="B16" s="9" t="s">
        <v>16</v>
      </c>
      <c r="C16" s="9" t="s">
        <v>1408</v>
      </c>
      <c r="D16" s="9" t="s">
        <v>1449</v>
      </c>
      <c r="E16" s="9" t="s">
        <v>1450</v>
      </c>
      <c r="F16" s="9" t="s">
        <v>1451</v>
      </c>
    </row>
    <row r="17" spans="1:6" ht="24" customHeight="1">
      <c r="A17" s="9" t="s">
        <v>1445</v>
      </c>
      <c r="B17" s="9" t="s">
        <v>17</v>
      </c>
      <c r="C17" s="9" t="s">
        <v>1408</v>
      </c>
      <c r="D17" s="9" t="s">
        <v>1452</v>
      </c>
      <c r="E17" s="9" t="s">
        <v>1450</v>
      </c>
      <c r="F17" s="9" t="s">
        <v>1453</v>
      </c>
    </row>
    <row r="18" spans="1:6" ht="24" customHeight="1">
      <c r="A18" s="9" t="s">
        <v>1445</v>
      </c>
      <c r="B18" s="9" t="s">
        <v>18</v>
      </c>
      <c r="C18" s="9" t="s">
        <v>1408</v>
      </c>
      <c r="D18" s="9" t="s">
        <v>1454</v>
      </c>
      <c r="E18" s="9" t="s">
        <v>1450</v>
      </c>
      <c r="F18" s="9" t="s">
        <v>1455</v>
      </c>
    </row>
    <row r="19" spans="1:6" ht="24" customHeight="1">
      <c r="A19" s="9" t="s">
        <v>1445</v>
      </c>
      <c r="B19" s="9" t="s">
        <v>19</v>
      </c>
      <c r="C19" s="9" t="s">
        <v>1408</v>
      </c>
      <c r="D19" s="9" t="s">
        <v>1456</v>
      </c>
      <c r="E19" s="9" t="s">
        <v>1450</v>
      </c>
      <c r="F19" s="9" t="s">
        <v>1457</v>
      </c>
    </row>
    <row r="20" spans="1:6" ht="24" customHeight="1">
      <c r="A20" s="9" t="s">
        <v>1458</v>
      </c>
      <c r="B20" s="9" t="s">
        <v>20</v>
      </c>
      <c r="C20" s="9" t="s">
        <v>1459</v>
      </c>
      <c r="D20" s="9"/>
      <c r="E20" s="9"/>
      <c r="F20" s="9" t="s">
        <v>1460</v>
      </c>
    </row>
    <row r="21" spans="1:6" ht="24" customHeight="1">
      <c r="A21" s="9" t="s">
        <v>1458</v>
      </c>
      <c r="B21" s="9" t="s">
        <v>21</v>
      </c>
      <c r="C21" s="9" t="s">
        <v>1461</v>
      </c>
      <c r="D21" s="9"/>
      <c r="E21" s="9"/>
      <c r="F21" s="9" t="s">
        <v>1462</v>
      </c>
    </row>
    <row r="22" spans="1:6" ht="15" customHeight="1">
      <c r="A22" s="9" t="s">
        <v>1458</v>
      </c>
      <c r="B22" s="9" t="s">
        <v>22</v>
      </c>
      <c r="C22" s="9" t="s">
        <v>1463</v>
      </c>
      <c r="D22" s="9"/>
      <c r="E22" s="9"/>
      <c r="F22" s="9" t="s">
        <v>1464</v>
      </c>
    </row>
    <row r="23" spans="1:6" ht="24" customHeight="1">
      <c r="A23" s="9" t="s">
        <v>1458</v>
      </c>
      <c r="B23" s="9" t="s">
        <v>23</v>
      </c>
      <c r="C23" s="9" t="s">
        <v>1465</v>
      </c>
      <c r="D23" s="9"/>
      <c r="E23" s="9"/>
      <c r="F23" s="9" t="s">
        <v>1466</v>
      </c>
    </row>
    <row r="24" spans="1:6" ht="15" customHeight="1">
      <c r="A24" s="9" t="s">
        <v>1458</v>
      </c>
      <c r="B24" s="9" t="s">
        <v>24</v>
      </c>
      <c r="C24" s="9" t="s">
        <v>1459</v>
      </c>
      <c r="D24" s="9"/>
      <c r="E24" s="9"/>
      <c r="F24" s="9" t="s">
        <v>1467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Jacobson, Tyler</cp:lastModifiedBy>
  <dcterms:modified xsi:type="dcterms:W3CDTF">2026-07-21T22:28:32Z</dcterms:modified>
</cp:coreProperties>
</file>